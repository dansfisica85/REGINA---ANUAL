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.silva\AppData\Local\Packages\5319275A.WhatsAppDesktop_cv1g1gvanyjgm\LocalState\sessions\AC76DCD02D74194452A54312DB1979B0DFABA41A\transfers\2025-51\"/>
    </mc:Choice>
  </mc:AlternateContent>
  <xr:revisionPtr revIDLastSave="0" documentId="13_ncr:1_{FC5AF0F3-8941-4090-BF85-0489FD2C170F}" xr6:coauthVersionLast="47" xr6:coauthVersionMax="47" xr10:uidLastSave="{00000000-0000-0000-0000-000000000000}"/>
  <bookViews>
    <workbookView xWindow="-28920" yWindow="-120" windowWidth="29040" windowHeight="1572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5" i="1"/>
</calcChain>
</file>

<file path=xl/sharedStrings.xml><?xml version="1.0" encoding="utf-8"?>
<sst xmlns="http://schemas.openxmlformats.org/spreadsheetml/2006/main" count="113" uniqueCount="107">
  <si>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</si>
  <si>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</si>
  <si>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</si>
  <si>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</si>
  <si>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</si>
  <si>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</si>
  <si>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</si>
  <si>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</si>
  <si>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</si>
  <si>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</si>
  <si>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</si>
  <si>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</si>
  <si>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</si>
  <si>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</si>
  <si>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</si>
  <si>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</si>
  <si>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</si>
  <si>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</si>
  <si>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</si>
  <si>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</si>
  <si>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</si>
  <si>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</si>
  <si>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</si>
  <si>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</si>
  <si>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</si>
  <si>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</si>
  <si>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</si>
  <si>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11</t>
  </si>
  <si>
    <t>S 12</t>
  </si>
  <si>
    <t>S 13</t>
  </si>
  <si>
    <t>S 14</t>
  </si>
  <si>
    <t xml:space="preserve"> S 15</t>
  </si>
  <si>
    <t>S 16</t>
  </si>
  <si>
    <t>S 17</t>
  </si>
  <si>
    <t>S 18</t>
  </si>
  <si>
    <t>S 19</t>
  </si>
  <si>
    <t>S 20</t>
  </si>
  <si>
    <t>2°BIM</t>
  </si>
  <si>
    <t>1°BIM</t>
  </si>
  <si>
    <t>3°BIM</t>
  </si>
  <si>
    <t>S33</t>
  </si>
  <si>
    <t>4°BIM</t>
  </si>
  <si>
    <t>S34</t>
  </si>
  <si>
    <t>S35</t>
  </si>
  <si>
    <t>S36</t>
  </si>
  <si>
    <t>S37</t>
  </si>
  <si>
    <t>Diretor</t>
  </si>
  <si>
    <t>Ciente</t>
  </si>
  <si>
    <t>S 1</t>
  </si>
  <si>
    <t xml:space="preserve">S 2 </t>
  </si>
  <si>
    <t>S 3</t>
  </si>
  <si>
    <t>S 4</t>
  </si>
  <si>
    <t>S 5</t>
  </si>
  <si>
    <t xml:space="preserve">S 6 </t>
  </si>
  <si>
    <t xml:space="preserve">S 7 </t>
  </si>
  <si>
    <t>S 8</t>
  </si>
  <si>
    <t>S 9</t>
  </si>
  <si>
    <t>S 10</t>
  </si>
  <si>
    <t>MÉDIA</t>
  </si>
  <si>
    <t>1º BIM</t>
  </si>
  <si>
    <t>RANKING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</si>
  <si>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</si>
  <si>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</si>
  <si>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</si>
  <si>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</si>
  <si>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</si>
  <si>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</si>
  <si>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</si>
  <si>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</si>
  <si>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</si>
  <si>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</si>
  <si>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</si>
  <si>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</si>
  <si>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</si>
  <si>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</si>
  <si>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</si>
  <si>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</si>
  <si>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</si>
  <si>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</si>
  <si>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</si>
  <si>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</si>
  <si>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</si>
  <si>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</si>
  <si>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</si>
  <si>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</si>
  <si>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</si>
  <si>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</si>
  <si>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PLATAFORMA Speak 2025  A PARTIR DA SEMANA 1 ATÉ A 10 - 1º BIMESTRE</t>
  </si>
  <si>
    <t>PLATAFORMA Speak 2º BIMESTRE  A PARTIR DA SEMANA 11 ATÉ 21</t>
  </si>
  <si>
    <t>S 21</t>
  </si>
  <si>
    <t>2º BIM</t>
  </si>
  <si>
    <t>S 27</t>
  </si>
  <si>
    <t>S 28</t>
  </si>
  <si>
    <t>S 29</t>
  </si>
  <si>
    <t>S 30</t>
  </si>
  <si>
    <t>S31</t>
  </si>
  <si>
    <t>S32</t>
  </si>
  <si>
    <t>PLATAFORMAS - SPEAK DA SEMANA 27 ATÉ A 34</t>
  </si>
  <si>
    <t xml:space="preserve">PLATAFORMAS - SPEAK DA SEMANA 35 ATÉ A </t>
  </si>
  <si>
    <t>S 38</t>
  </si>
  <si>
    <t>S39</t>
  </si>
  <si>
    <t>S40</t>
  </si>
  <si>
    <t>S41</t>
  </si>
  <si>
    <t>S42</t>
  </si>
  <si>
    <t>S43</t>
  </si>
  <si>
    <t>S44</t>
  </si>
  <si>
    <t>4º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</si>
</sst>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3333FF"/>
      </top>
      <bottom/>
      <diagonal/>
    </border>
    <border>
      <left/>
      <right style="medium">
        <color indexed="64"/>
      </right>
      <top style="thick">
        <color rgb="FF3333FF"/>
      </top>
      <bottom/>
      <diagonal/>
    </border>
    <border>
      <left/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ck">
        <color rgb="FF3333FF"/>
      </right>
      <top style="thick">
        <color rgb="FF3333FF"/>
      </top>
      <bottom style="thin">
        <color indexed="64"/>
      </bottom>
      <diagonal/>
    </border>
    <border>
      <left style="thick">
        <color rgb="FF3333FF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3333FF"/>
      </right>
      <top style="thin">
        <color indexed="64"/>
      </top>
      <bottom style="thin">
        <color indexed="64"/>
      </bottom>
      <diagonal/>
    </border>
    <border>
      <left style="thick">
        <color rgb="FF3333FF"/>
      </left>
      <right style="medium">
        <color indexed="64"/>
      </right>
      <top style="thin">
        <color indexed="64"/>
      </top>
      <bottom/>
      <diagonal/>
    </border>
    <border>
      <left/>
      <right style="thick">
        <color rgb="FF3333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3333FF"/>
      </right>
      <top/>
      <bottom/>
      <diagonal/>
    </border>
    <border>
      <left style="thick">
        <color rgb="FF3333FF"/>
      </left>
      <right style="medium">
        <color indexed="64"/>
      </right>
      <top style="thin">
        <color indexed="64"/>
      </top>
      <bottom style="thick">
        <color rgb="FF3333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3333FF"/>
      </bottom>
      <diagonal/>
    </border>
    <border>
      <left/>
      <right style="medium">
        <color indexed="64"/>
      </right>
      <top style="thin">
        <color indexed="64"/>
      </top>
      <bottom style="thick">
        <color rgb="FF3333FF"/>
      </bottom>
      <diagonal/>
    </border>
    <border>
      <left/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ck">
        <color rgb="FF3333FF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ck">
        <color rgb="FF3333F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3333FF"/>
      </right>
      <top style="medium">
        <color indexed="64"/>
      </top>
      <bottom/>
      <diagonal/>
    </border>
    <border>
      <left/>
      <right style="thick">
        <color rgb="FF3333FF"/>
      </right>
      <top/>
      <bottom style="medium">
        <color indexed="64"/>
      </bottom>
      <diagonal/>
    </border>
    <border>
      <left style="medium">
        <color indexed="64"/>
      </left>
      <right style="thick">
        <color rgb="FF3333F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rgb="FF3333FF"/>
      </left>
      <right style="thick">
        <color rgb="FF3333FF"/>
      </right>
      <top style="medium">
        <color indexed="64"/>
      </top>
      <bottom style="medium">
        <color indexed="64"/>
      </bottom>
      <diagonal/>
    </border>
    <border>
      <left style="thick">
        <color rgb="FF3333FF"/>
      </left>
      <right style="thick">
        <color rgb="FF3333FF"/>
      </right>
      <top style="medium">
        <color indexed="64"/>
      </top>
      <bottom/>
      <diagonal/>
    </border>
    <border>
      <left style="thick">
        <color rgb="FF3333FF"/>
      </left>
      <right style="thick">
        <color rgb="FF3333FF"/>
      </right>
      <top style="thick">
        <color rgb="FF3333FF"/>
      </top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rgb="FF3333F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3333FF"/>
      </right>
      <top style="medium">
        <color indexed="64"/>
      </top>
      <bottom/>
      <diagonal/>
    </border>
    <border>
      <left style="medium">
        <color indexed="64"/>
      </left>
      <right style="thick">
        <color rgb="FF3333FF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3333FF"/>
      </right>
      <top style="thin">
        <color indexed="64"/>
      </top>
      <bottom/>
      <diagonal/>
    </border>
    <border>
      <left style="medium">
        <color indexed="64"/>
      </left>
      <right style="thick">
        <color rgb="FF3333FF"/>
      </right>
      <top style="thin">
        <color indexed="64"/>
      </top>
      <bottom style="medium">
        <color indexed="64"/>
      </bottom>
      <diagonal/>
    </border>
    <border>
      <left/>
      <right style="thick">
        <color rgb="FF3333FF"/>
      </right>
      <top style="thin">
        <color indexed="64"/>
      </top>
      <bottom/>
      <diagonal/>
    </border>
    <border>
      <left style="medium">
        <color indexed="64"/>
      </left>
      <right style="thick">
        <color rgb="FF3333FF"/>
      </right>
      <top/>
      <bottom/>
      <diagonal/>
    </border>
    <border>
      <left style="thick">
        <color rgb="FF3333F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3333FF"/>
      </right>
      <top style="medium">
        <color indexed="64"/>
      </top>
      <bottom/>
      <diagonal/>
    </border>
    <border>
      <left style="thick">
        <color rgb="FF3333FF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3333FF"/>
      </right>
      <top/>
      <bottom style="medium">
        <color indexed="64"/>
      </bottom>
      <diagonal/>
    </border>
    <border>
      <left/>
      <right/>
      <top style="thick">
        <color rgb="FF3333F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3333F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3333FF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3333FF"/>
      </left>
      <right style="thick">
        <color rgb="FF3333FF"/>
      </right>
      <top style="thin">
        <color indexed="64"/>
      </top>
      <bottom style="thick">
        <color rgb="FF3333FF"/>
      </bottom>
      <diagonal/>
    </border>
    <border>
      <left style="thick">
        <color rgb="FF3333FF"/>
      </left>
      <right/>
      <top/>
      <bottom style="thick">
        <color rgb="FF3333FF"/>
      </bottom>
      <diagonal/>
    </border>
    <border>
      <left/>
      <right/>
      <top style="thin">
        <color indexed="64"/>
      </top>
      <bottom style="thick">
        <color rgb="FF3333FF"/>
      </bottom>
      <diagonal/>
    </border>
    <border>
      <left/>
      <right style="thick">
        <color rgb="FF0070C0"/>
      </right>
      <top style="thin">
        <color indexed="64"/>
      </top>
      <bottom style="thick">
        <color rgb="FF3333FF"/>
      </bottom>
      <diagonal/>
    </border>
    <border>
      <left style="thick">
        <color rgb="FF3333FF"/>
      </left>
      <right/>
      <top/>
      <bottom/>
      <diagonal/>
    </border>
    <border>
      <left style="thick">
        <color rgb="FF3333FF"/>
      </left>
      <right/>
      <top style="thin">
        <color rgb="FF0070C0"/>
      </top>
      <bottom style="medium">
        <color indexed="64"/>
      </bottom>
      <diagonal/>
    </border>
    <border>
      <left style="medium">
        <color indexed="64"/>
      </left>
      <right style="thick">
        <color rgb="FF3333FF"/>
      </right>
      <top style="thick">
        <color rgb="FF3333FF"/>
      </top>
      <bottom style="thin">
        <color indexed="64"/>
      </bottom>
      <diagonal/>
    </border>
    <border>
      <left style="thick">
        <color rgb="FF3333FF"/>
      </left>
      <right style="thick">
        <color rgb="FF3333FF"/>
      </right>
      <top/>
      <bottom style="medium">
        <color indexed="64"/>
      </bottom>
      <diagonal/>
    </border>
    <border>
      <left style="thick">
        <color rgb="FF3333FF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3333FF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2" borderId="0" xfId="0" applyFill="1"/>
    <xf numFmtId="0" fontId="2" fillId="0" borderId="0" xfId="0" applyFont="1"/>
    <xf numFmtId="0" fontId="3" fillId="6" borderId="41" xfId="0" applyFont="1" applyFill="1" applyBorder="1" applyAlignment="1">
      <alignment horizontal="center"/>
    </xf>
    <xf numFmtId="0" fontId="3" fillId="4" borderId="44" xfId="0" applyFont="1" applyFill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16" fontId="3" fillId="4" borderId="15" xfId="0" applyNumberFormat="1" applyFont="1" applyFill="1" applyBorder="1" applyAlignment="1">
      <alignment horizontal="center"/>
    </xf>
    <xf numFmtId="16" fontId="3" fillId="4" borderId="14" xfId="0" applyNumberFormat="1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16" fontId="3" fillId="6" borderId="41" xfId="0" applyNumberFormat="1" applyFont="1" applyFill="1" applyBorder="1" applyAlignment="1">
      <alignment horizontal="center"/>
    </xf>
    <xf numFmtId="16" fontId="3" fillId="4" borderId="44" xfId="0" applyNumberFormat="1" applyFont="1" applyFill="1" applyBorder="1" applyAlignment="1">
      <alignment horizontal="center"/>
    </xf>
    <xf numFmtId="16" fontId="3" fillId="4" borderId="42" xfId="0" applyNumberFormat="1" applyFont="1" applyFill="1" applyBorder="1" applyAlignment="1">
      <alignment horizontal="center"/>
    </xf>
    <xf numFmtId="16" fontId="3" fillId="4" borderId="18" xfId="0" applyNumberFormat="1" applyFont="1" applyFill="1" applyBorder="1" applyAlignment="1">
      <alignment horizontal="center"/>
    </xf>
    <xf numFmtId="16" fontId="3" fillId="4" borderId="20" xfId="0" applyNumberFormat="1" applyFont="1" applyFill="1" applyBorder="1" applyAlignment="1">
      <alignment horizontal="center"/>
    </xf>
    <xf numFmtId="16" fontId="3" fillId="4" borderId="21" xfId="0" applyNumberFormat="1" applyFont="1" applyFill="1" applyBorder="1" applyAlignment="1">
      <alignment horizontal="center"/>
    </xf>
    <xf numFmtId="16" fontId="3" fillId="4" borderId="39" xfId="0" applyNumberFormat="1" applyFont="1" applyFill="1" applyBorder="1" applyAlignment="1">
      <alignment horizontal="center"/>
    </xf>
    <xf numFmtId="0" fontId="3" fillId="4" borderId="43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left"/>
    </xf>
    <xf numFmtId="0" fontId="3" fillId="9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6" borderId="43" xfId="0" applyFont="1" applyFill="1" applyBorder="1" applyAlignment="1">
      <alignment horizontal="center"/>
    </xf>
    <xf numFmtId="0" fontId="3" fillId="10" borderId="43" xfId="0" applyFont="1" applyFill="1" applyBorder="1" applyAlignment="1">
      <alignment horizontal="center"/>
    </xf>
    <xf numFmtId="0" fontId="3" fillId="10" borderId="41" xfId="0" applyFont="1" applyFill="1" applyBorder="1" applyAlignment="1">
      <alignment horizontal="center"/>
    </xf>
    <xf numFmtId="16" fontId="3" fillId="10" borderId="41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6" borderId="48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left"/>
    </xf>
    <xf numFmtId="0" fontId="3" fillId="2" borderId="50" xfId="0" applyFont="1" applyFill="1" applyBorder="1" applyAlignment="1">
      <alignment horizontal="left"/>
    </xf>
    <xf numFmtId="0" fontId="3" fillId="2" borderId="51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52" xfId="0" applyFont="1" applyFill="1" applyBorder="1" applyAlignment="1">
      <alignment horizontal="left"/>
    </xf>
    <xf numFmtId="0" fontId="3" fillId="2" borderId="44" xfId="0" applyFont="1" applyFill="1" applyBorder="1" applyAlignment="1">
      <alignment horizontal="center"/>
    </xf>
    <xf numFmtId="0" fontId="3" fillId="10" borderId="5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5" borderId="62" xfId="0" applyFont="1" applyFill="1" applyBorder="1" applyAlignment="1">
      <alignment horizontal="center"/>
    </xf>
    <xf numFmtId="0" fontId="3" fillId="5" borderId="61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16" fontId="3" fillId="5" borderId="62" xfId="0" applyNumberFormat="1" applyFont="1" applyFill="1" applyBorder="1" applyAlignment="1">
      <alignment horizontal="center"/>
    </xf>
    <xf numFmtId="0" fontId="3" fillId="8" borderId="64" xfId="0" applyFont="1" applyFill="1" applyBorder="1" applyAlignment="1">
      <alignment horizontal="left"/>
    </xf>
    <xf numFmtId="0" fontId="3" fillId="8" borderId="63" xfId="0" applyFont="1" applyFill="1" applyBorder="1" applyAlignment="1">
      <alignment horizontal="left"/>
    </xf>
    <xf numFmtId="16" fontId="3" fillId="5" borderId="19" xfId="0" applyNumberFormat="1" applyFont="1" applyFill="1" applyBorder="1" applyAlignment="1">
      <alignment horizontal="center"/>
    </xf>
    <xf numFmtId="0" fontId="3" fillId="8" borderId="60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0" fontId="3" fillId="9" borderId="0" xfId="0" applyFont="1" applyFill="1" applyAlignment="1">
      <alignment horizontal="left"/>
    </xf>
    <xf numFmtId="16" fontId="3" fillId="5" borderId="0" xfId="0" applyNumberFormat="1" applyFont="1" applyFill="1" applyAlignment="1">
      <alignment horizontal="center"/>
    </xf>
    <xf numFmtId="0" fontId="3" fillId="8" borderId="67" xfId="0" applyFont="1" applyFill="1" applyBorder="1" applyAlignment="1">
      <alignment horizontal="left"/>
    </xf>
    <xf numFmtId="0" fontId="4" fillId="5" borderId="58" xfId="0" applyFont="1" applyFill="1" applyBorder="1" applyAlignment="1">
      <alignment horizontal="center"/>
    </xf>
    <xf numFmtId="0" fontId="5" fillId="5" borderId="58" xfId="0" applyFont="1" applyFill="1" applyBorder="1" applyAlignment="1">
      <alignment horizontal="center"/>
    </xf>
    <xf numFmtId="0" fontId="5" fillId="5" borderId="69" xfId="0" applyFont="1" applyFill="1" applyBorder="1" applyAlignment="1">
      <alignment horizontal="center"/>
    </xf>
    <xf numFmtId="0" fontId="3" fillId="8" borderId="33" xfId="0" applyFont="1" applyFill="1" applyBorder="1" applyAlignment="1">
      <alignment horizontal="left"/>
    </xf>
    <xf numFmtId="0" fontId="3" fillId="7" borderId="70" xfId="0" applyFont="1" applyFill="1" applyBorder="1" applyAlignment="1">
      <alignment horizontal="left"/>
    </xf>
    <xf numFmtId="0" fontId="3" fillId="9" borderId="33" xfId="0" applyFont="1" applyFill="1" applyBorder="1" applyAlignment="1">
      <alignment horizontal="left"/>
    </xf>
    <xf numFmtId="0" fontId="3" fillId="7" borderId="71" xfId="0" applyFont="1" applyFill="1" applyBorder="1" applyAlignment="1">
      <alignment horizontal="left"/>
    </xf>
    <xf numFmtId="0" fontId="3" fillId="5" borderId="73" xfId="0" applyFont="1" applyFill="1" applyBorder="1" applyAlignment="1">
      <alignment horizontal="center"/>
    </xf>
    <xf numFmtId="0" fontId="0" fillId="0" borderId="72" xfId="0" applyBorder="1"/>
    <xf numFmtId="0" fontId="3" fillId="5" borderId="41" xfId="0" applyFont="1" applyFill="1" applyBorder="1" applyAlignment="1">
      <alignment horizontal="center"/>
    </xf>
    <xf numFmtId="16" fontId="3" fillId="5" borderId="49" xfId="0" applyNumberFormat="1" applyFont="1" applyFill="1" applyBorder="1" applyAlignment="1">
      <alignment horizontal="center"/>
    </xf>
    <xf numFmtId="0" fontId="3" fillId="7" borderId="74" xfId="0" applyFont="1" applyFill="1" applyBorder="1" applyAlignment="1">
      <alignment horizontal="left"/>
    </xf>
    <xf numFmtId="0" fontId="3" fillId="7" borderId="50" xfId="0" applyFont="1" applyFill="1" applyBorder="1" applyAlignment="1">
      <alignment horizontal="left"/>
    </xf>
    <xf numFmtId="0" fontId="3" fillId="9" borderId="50" xfId="0" applyFont="1" applyFill="1" applyBorder="1" applyAlignment="1">
      <alignment horizontal="left"/>
    </xf>
    <xf numFmtId="0" fontId="3" fillId="8" borderId="50" xfId="0" applyFont="1" applyFill="1" applyBorder="1" applyAlignment="1">
      <alignment horizontal="left"/>
    </xf>
    <xf numFmtId="0" fontId="3" fillId="8" borderId="26" xfId="0" applyFont="1" applyFill="1" applyBorder="1" applyAlignment="1">
      <alignment horizontal="left"/>
    </xf>
    <xf numFmtId="0" fontId="3" fillId="8" borderId="28" xfId="0" applyFont="1" applyFill="1" applyBorder="1" applyAlignment="1">
      <alignment horizontal="left"/>
    </xf>
    <xf numFmtId="0" fontId="3" fillId="8" borderId="30" xfId="0" applyFont="1" applyFill="1" applyBorder="1" applyAlignment="1">
      <alignment horizontal="left"/>
    </xf>
    <xf numFmtId="0" fontId="3" fillId="8" borderId="31" xfId="0" applyFont="1" applyFill="1" applyBorder="1" applyAlignment="1">
      <alignment horizontal="left"/>
    </xf>
    <xf numFmtId="0" fontId="3" fillId="8" borderId="37" xfId="0" applyFont="1" applyFill="1" applyBorder="1" applyAlignment="1">
      <alignment horizontal="left"/>
    </xf>
    <xf numFmtId="0" fontId="3" fillId="9" borderId="28" xfId="0" applyFont="1" applyFill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3" fillId="8" borderId="25" xfId="0" applyFont="1" applyFill="1" applyBorder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8" borderId="3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8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left"/>
    </xf>
    <xf numFmtId="0" fontId="3" fillId="9" borderId="36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9" borderId="35" xfId="0" applyFont="1" applyFill="1" applyBorder="1" applyAlignment="1">
      <alignment horizontal="left"/>
    </xf>
    <xf numFmtId="0" fontId="3" fillId="8" borderId="24" xfId="0" applyFont="1" applyFill="1" applyBorder="1" applyAlignment="1">
      <alignment horizontal="left"/>
    </xf>
    <xf numFmtId="0" fontId="3" fillId="8" borderId="8" xfId="0" applyFont="1" applyFill="1" applyBorder="1" applyAlignment="1">
      <alignment horizontal="left"/>
    </xf>
    <xf numFmtId="0" fontId="3" fillId="9" borderId="17" xfId="0" applyFont="1" applyFill="1" applyBorder="1" applyAlignment="1">
      <alignment horizontal="left"/>
    </xf>
    <xf numFmtId="0" fontId="3" fillId="8" borderId="16" xfId="0" applyFont="1" applyFill="1" applyBorder="1" applyAlignment="1">
      <alignment horizontal="left"/>
    </xf>
    <xf numFmtId="0" fontId="3" fillId="8" borderId="17" xfId="0" applyFont="1" applyFill="1" applyBorder="1" applyAlignment="1">
      <alignment horizontal="left"/>
    </xf>
    <xf numFmtId="0" fontId="3" fillId="8" borderId="46" xfId="0" applyFont="1" applyFill="1" applyBorder="1" applyAlignment="1">
      <alignment horizontal="left"/>
    </xf>
    <xf numFmtId="0" fontId="3" fillId="8" borderId="47" xfId="0" applyFont="1" applyFill="1" applyBorder="1" applyAlignment="1">
      <alignment horizontal="left"/>
    </xf>
    <xf numFmtId="0" fontId="3" fillId="9" borderId="34" xfId="0" applyFont="1" applyFill="1" applyBorder="1" applyAlignment="1">
      <alignment horizontal="left"/>
    </xf>
    <xf numFmtId="0" fontId="3" fillId="8" borderId="23" xfId="0" applyFont="1" applyFill="1" applyBorder="1" applyAlignment="1">
      <alignment horizontal="left"/>
    </xf>
    <xf numFmtId="0" fontId="3" fillId="8" borderId="22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/>
    </xf>
    <xf numFmtId="0" fontId="6" fillId="0" borderId="1" xfId="0" applyFont="1" applyBorder="1"/>
    <xf numFmtId="0" fontId="3" fillId="8" borderId="45" xfId="0" applyFont="1" applyFill="1" applyBorder="1" applyAlignment="1">
      <alignment horizontal="left"/>
    </xf>
    <xf numFmtId="0" fontId="3" fillId="8" borderId="27" xfId="0" applyFont="1" applyFill="1" applyBorder="1" applyAlignment="1">
      <alignment horizontal="left"/>
    </xf>
    <xf numFmtId="0" fontId="3" fillId="8" borderId="29" xfId="0" applyFont="1" applyFill="1" applyBorder="1" applyAlignment="1">
      <alignment horizontal="left"/>
    </xf>
    <xf numFmtId="0" fontId="3" fillId="9" borderId="29" xfId="0" applyFont="1" applyFill="1" applyBorder="1" applyAlignment="1">
      <alignment horizontal="left"/>
    </xf>
    <xf numFmtId="0" fontId="3" fillId="9" borderId="32" xfId="0" applyFont="1" applyFill="1" applyBorder="1" applyAlignment="1">
      <alignment horizontal="left"/>
    </xf>
    <xf numFmtId="0" fontId="3" fillId="4" borderId="48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16" fontId="3" fillId="4" borderId="41" xfId="0" applyNumberFormat="1" applyFont="1" applyFill="1" applyBorder="1" applyAlignment="1">
      <alignment horizontal="center"/>
    </xf>
    <xf numFmtId="0" fontId="3" fillId="4" borderId="66" xfId="0" applyFont="1" applyFill="1" applyBorder="1"/>
    <xf numFmtId="0" fontId="3" fillId="4" borderId="13" xfId="0" applyFont="1" applyFill="1" applyBorder="1"/>
    <xf numFmtId="0" fontId="3" fillId="4" borderId="48" xfId="0" applyFont="1" applyFill="1" applyBorder="1"/>
    <xf numFmtId="0" fontId="3" fillId="8" borderId="11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8" borderId="0" xfId="0" applyFont="1" applyFill="1" applyAlignment="1">
      <alignment horizontal="left"/>
    </xf>
    <xf numFmtId="16" fontId="3" fillId="4" borderId="49" xfId="0" applyNumberFormat="1" applyFont="1" applyFill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left"/>
    </xf>
    <xf numFmtId="2" fontId="5" fillId="2" borderId="76" xfId="0" applyNumberFormat="1" applyFont="1" applyFill="1" applyBorder="1" applyAlignment="1">
      <alignment horizontal="center"/>
    </xf>
    <xf numFmtId="2" fontId="5" fillId="2" borderId="27" xfId="0" applyNumberFormat="1" applyFont="1" applyFill="1" applyBorder="1" applyAlignment="1">
      <alignment horizontal="center"/>
    </xf>
    <xf numFmtId="2" fontId="5" fillId="2" borderId="77" xfId="0" applyNumberFormat="1" applyFont="1" applyFill="1" applyBorder="1" applyAlignment="1">
      <alignment horizontal="center"/>
    </xf>
    <xf numFmtId="0" fontId="3" fillId="8" borderId="49" xfId="0" applyFont="1" applyFill="1" applyBorder="1" applyAlignment="1">
      <alignment horizontal="left"/>
    </xf>
    <xf numFmtId="0" fontId="3" fillId="8" borderId="51" xfId="0" applyFont="1" applyFill="1" applyBorder="1" applyAlignment="1">
      <alignment horizontal="left"/>
    </xf>
    <xf numFmtId="0" fontId="3" fillId="8" borderId="53" xfId="0" applyFont="1" applyFill="1" applyBorder="1" applyAlignment="1">
      <alignment horizontal="left"/>
    </xf>
    <xf numFmtId="0" fontId="3" fillId="7" borderId="52" xfId="0" applyFont="1" applyFill="1" applyBorder="1" applyAlignment="1">
      <alignment horizontal="left"/>
    </xf>
    <xf numFmtId="0" fontId="3" fillId="9" borderId="51" xfId="0" applyFont="1" applyFill="1" applyBorder="1" applyAlignment="1">
      <alignment horizontal="left"/>
    </xf>
    <xf numFmtId="0" fontId="3" fillId="9" borderId="49" xfId="0" applyFont="1" applyFill="1" applyBorder="1" applyAlignment="1">
      <alignment horizontal="left"/>
    </xf>
    <xf numFmtId="0" fontId="3" fillId="7" borderId="51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left"/>
    </xf>
    <xf numFmtId="0" fontId="3" fillId="7" borderId="49" xfId="0" applyFont="1" applyFill="1" applyBorder="1" applyAlignment="1">
      <alignment horizontal="left"/>
    </xf>
    <xf numFmtId="0" fontId="3" fillId="7" borderId="54" xfId="0" applyFont="1" applyFill="1" applyBorder="1" applyAlignment="1">
      <alignment horizontal="left"/>
    </xf>
    <xf numFmtId="0" fontId="3" fillId="9" borderId="11" xfId="0" applyFont="1" applyFill="1" applyBorder="1" applyAlignment="1">
      <alignment horizontal="left"/>
    </xf>
    <xf numFmtId="0" fontId="3" fillId="10" borderId="55" xfId="0" applyFont="1" applyFill="1" applyBorder="1" applyAlignment="1">
      <alignment horizontal="center"/>
    </xf>
    <xf numFmtId="0" fontId="3" fillId="10" borderId="58" xfId="0" applyFont="1" applyFill="1" applyBorder="1" applyAlignment="1">
      <alignment horizontal="center"/>
    </xf>
    <xf numFmtId="2" fontId="5" fillId="2" borderId="49" xfId="0" applyNumberFormat="1" applyFont="1" applyFill="1" applyBorder="1" applyAlignment="1">
      <alignment horizontal="left"/>
    </xf>
    <xf numFmtId="2" fontId="7" fillId="2" borderId="49" xfId="0" applyNumberFormat="1" applyFont="1" applyFill="1" applyBorder="1" applyAlignment="1">
      <alignment horizontal="left"/>
    </xf>
    <xf numFmtId="2" fontId="8" fillId="2" borderId="49" xfId="0" applyNumberFormat="1" applyFont="1" applyFill="1" applyBorder="1" applyAlignment="1">
      <alignment horizontal="left"/>
    </xf>
    <xf numFmtId="0" fontId="3" fillId="0" borderId="5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" fillId="0" borderId="12" xfId="0" applyFont="1" applyBorder="1" applyAlignment="1">
      <alignment horizontal="left" indent="2"/>
    </xf>
    <xf numFmtId="0" fontId="1" fillId="0" borderId="13" xfId="0" applyFont="1" applyBorder="1" applyAlignment="1">
      <alignment horizontal="left" indent="2"/>
    </xf>
    <xf numFmtId="0" fontId="3" fillId="2" borderId="55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3" fillId="4" borderId="44" xfId="0" applyFont="1" applyFill="1" applyBorder="1" applyAlignment="1">
      <alignment horizontal="center"/>
    </xf>
    <xf numFmtId="0" fontId="3" fillId="4" borderId="7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3" fillId="0" borderId="6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1" fillId="0" borderId="65" xfId="0" applyFont="1" applyBorder="1" applyAlignment="1">
      <alignment horizontal="left" indent="2"/>
    </xf>
    <xf numFmtId="0" fontId="6" fillId="3" borderId="16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78" xfId="0" applyFont="1" applyBorder="1" applyAlignment="1">
      <alignment horizontal="left"/>
    </xf>
    <xf numFmtId="0" fontId="6" fillId="0" borderId="79" xfId="0" applyFont="1" applyBorder="1" applyAlignment="1">
      <alignment horizontal="left"/>
    </xf>
    <xf numFmtId="0" fontId="6" fillId="0" borderId="80" xfId="0" applyFont="1" applyBorder="1" applyAlignment="1">
      <alignment horizontal="left"/>
    </xf>
    <xf numFmtId="0" fontId="6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6666FF"/>
      <color rgb="FF3333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H32"/>
  <sheetViews>
    <sheetView tabSelected="1" zoomScale="90" zoomScaleNormal="90" workbookViewId="0">
      <selection activeCell="E18" sqref="A14:E18"/>
    </sheetView>
  </sheetViews>
  <sheetFormatPr defaultRowHeight="15" x14ac:dyDescent="0.25"/>
  <cols>
    <col min="1" max="1" width="38.85546875" bestFit="1" customWidth="1"/>
    <col min="4" max="4" width="13.5703125" customWidth="1"/>
    <col min="5" max="5" width="42.5703125" customWidth="1"/>
    <col min="6" max="6" width="10.5703125" bestFit="1" customWidth="1"/>
    <col min="7" max="13" width="10.5703125" customWidth="1"/>
    <col min="14" max="16" width="10.5703125" bestFit="1" customWidth="1"/>
    <col min="17" max="17" width="9.42578125" customWidth="1"/>
    <col min="18" max="18" width="11" customWidth="1"/>
    <col min="19" max="19" width="9.42578125" customWidth="1"/>
    <col min="20" max="21" width="9.28515625" bestFit="1" customWidth="1"/>
    <col min="22" max="24" width="9.5703125" bestFit="1" customWidth="1"/>
    <col min="25" max="26" width="9.5703125" customWidth="1"/>
    <col min="27" max="27" width="12.7109375" customWidth="1"/>
    <col min="28" max="31" width="9.28515625" bestFit="1" customWidth="1"/>
    <col min="32" max="34" width="9.85546875" bestFit="1" customWidth="1"/>
    <col min="35" max="36" width="9.5703125" bestFit="1" customWidth="1"/>
    <col min="39" max="39" width="12.140625" bestFit="1" customWidth="1"/>
    <col min="43" max="47" width="9.85546875" bestFit="1" customWidth="1"/>
  </cols>
  <sheetData>
    <row r="1" spans="1:60" ht="19.5" thickBot="1" x14ac:dyDescent="0.35">
      <c r="A1" s="152"/>
      <c r="B1" s="152"/>
      <c r="C1" s="152"/>
      <c r="D1" s="152"/>
      <c r="E1" s="34"/>
      <c r="F1" s="22"/>
      <c r="G1" s="133"/>
      <c r="H1" s="133"/>
      <c r="I1" s="133"/>
      <c r="J1" s="143" t="s">
        <v>98</v>
      </c>
      <c r="K1" s="144"/>
      <c r="L1" s="144"/>
      <c r="M1" s="144"/>
      <c r="N1" s="144"/>
      <c r="O1" s="144"/>
      <c r="P1" s="145"/>
      <c r="Q1" s="22"/>
      <c r="R1" s="21" t="s">
        <v>39</v>
      </c>
      <c r="S1" s="149" t="s">
        <v>97</v>
      </c>
      <c r="T1" s="150"/>
      <c r="U1" s="150"/>
      <c r="V1" s="150"/>
      <c r="W1" s="150"/>
      <c r="X1" s="150"/>
      <c r="Y1" s="150"/>
      <c r="Z1" s="151"/>
      <c r="AA1" s="154"/>
      <c r="AB1" s="17" t="s">
        <v>37</v>
      </c>
      <c r="AC1" s="138" t="s">
        <v>88</v>
      </c>
      <c r="AD1" s="139"/>
      <c r="AE1" s="139"/>
      <c r="AF1" s="139"/>
      <c r="AG1" s="139"/>
      <c r="AH1" s="139"/>
      <c r="AI1" s="139"/>
      <c r="AJ1" s="139"/>
      <c r="AK1" s="139"/>
      <c r="AL1" s="140"/>
      <c r="AM1" s="138" t="s">
        <v>87</v>
      </c>
      <c r="AN1" s="139"/>
      <c r="AO1" s="139"/>
      <c r="AP1" s="139"/>
      <c r="AQ1" s="139"/>
      <c r="AR1" s="139"/>
      <c r="AS1" s="139"/>
      <c r="AT1" s="139"/>
      <c r="AU1" s="139"/>
      <c r="AV1" s="139"/>
      <c r="AW1" s="140"/>
      <c r="AX1" s="57" t="s">
        <v>38</v>
      </c>
      <c r="AY1" s="58"/>
    </row>
    <row r="2" spans="1:60" ht="19.5" thickBot="1" x14ac:dyDescent="0.35">
      <c r="A2" s="152"/>
      <c r="B2" s="152"/>
      <c r="C2" s="152"/>
      <c r="D2" s="152"/>
      <c r="E2" s="36"/>
      <c r="F2" s="22" t="s">
        <v>41</v>
      </c>
      <c r="G2" s="134"/>
      <c r="H2" s="134"/>
      <c r="I2" s="134"/>
      <c r="J2" s="146"/>
      <c r="K2" s="147"/>
      <c r="L2" s="147"/>
      <c r="M2" s="147"/>
      <c r="N2" s="147"/>
      <c r="O2" s="147"/>
      <c r="P2" s="148"/>
      <c r="Q2" s="22" t="s">
        <v>41</v>
      </c>
      <c r="R2" s="27"/>
      <c r="S2" s="138"/>
      <c r="T2" s="139"/>
      <c r="U2" s="139"/>
      <c r="V2" s="139"/>
      <c r="W2" s="139"/>
      <c r="X2" s="139"/>
      <c r="Y2" s="139"/>
      <c r="Z2" s="140"/>
      <c r="AA2" s="155"/>
      <c r="AB2" s="104"/>
      <c r="AC2" s="107"/>
      <c r="AD2" s="108"/>
      <c r="AE2" s="108"/>
      <c r="AF2" s="108"/>
      <c r="AG2" s="108"/>
      <c r="AH2" s="108"/>
      <c r="AI2" s="108"/>
      <c r="AJ2" s="108"/>
      <c r="AK2" s="108"/>
      <c r="AL2" s="109"/>
      <c r="AM2" s="158"/>
      <c r="AN2" s="159"/>
      <c r="AO2" s="159"/>
      <c r="AP2" s="159"/>
      <c r="AQ2" s="159"/>
      <c r="AR2" s="159"/>
      <c r="AS2" s="159"/>
      <c r="AT2" s="159"/>
      <c r="AU2" s="159"/>
      <c r="AV2" s="159"/>
      <c r="AW2" s="160"/>
      <c r="AX2" s="59"/>
    </row>
    <row r="3" spans="1:60" ht="19.5" thickBot="1" x14ac:dyDescent="0.35">
      <c r="A3" s="153"/>
      <c r="B3" s="153"/>
      <c r="C3" s="153"/>
      <c r="D3" s="153"/>
      <c r="E3" s="35" t="s">
        <v>46</v>
      </c>
      <c r="F3" s="23"/>
      <c r="G3" s="23" t="s">
        <v>58</v>
      </c>
      <c r="H3" s="23" t="s">
        <v>105</v>
      </c>
      <c r="I3" s="23" t="s">
        <v>104</v>
      </c>
      <c r="J3" s="23" t="s">
        <v>103</v>
      </c>
      <c r="K3" s="23" t="s">
        <v>102</v>
      </c>
      <c r="L3" s="23" t="s">
        <v>101</v>
      </c>
      <c r="M3" s="23" t="s">
        <v>100</v>
      </c>
      <c r="N3" s="23" t="s">
        <v>99</v>
      </c>
      <c r="O3" s="23" t="s">
        <v>45</v>
      </c>
      <c r="P3" s="23" t="s">
        <v>44</v>
      </c>
      <c r="Q3" s="23" t="s">
        <v>43</v>
      </c>
      <c r="R3" s="3" t="s">
        <v>58</v>
      </c>
      <c r="S3" s="3" t="s">
        <v>42</v>
      </c>
      <c r="T3" s="3" t="s">
        <v>40</v>
      </c>
      <c r="U3" s="3" t="s">
        <v>96</v>
      </c>
      <c r="V3" s="3" t="s">
        <v>95</v>
      </c>
      <c r="W3" s="3" t="s">
        <v>94</v>
      </c>
      <c r="X3" s="3" t="s">
        <v>93</v>
      </c>
      <c r="Y3" s="3" t="s">
        <v>92</v>
      </c>
      <c r="Z3" s="3" t="s">
        <v>91</v>
      </c>
      <c r="AA3" s="105" t="s">
        <v>58</v>
      </c>
      <c r="AB3" s="105" t="s">
        <v>89</v>
      </c>
      <c r="AC3" s="4" t="s">
        <v>36</v>
      </c>
      <c r="AD3" s="5" t="s">
        <v>35</v>
      </c>
      <c r="AE3" s="6" t="s">
        <v>34</v>
      </c>
      <c r="AF3" s="6" t="s">
        <v>33</v>
      </c>
      <c r="AG3" s="6" t="s">
        <v>32</v>
      </c>
      <c r="AH3" s="7" t="s">
        <v>31</v>
      </c>
      <c r="AI3" s="8" t="s">
        <v>30</v>
      </c>
      <c r="AJ3" s="8" t="s">
        <v>29</v>
      </c>
      <c r="AK3" s="8" t="s">
        <v>28</v>
      </c>
      <c r="AL3" s="9" t="s">
        <v>27</v>
      </c>
      <c r="AM3" s="37" t="s">
        <v>60</v>
      </c>
      <c r="AN3" s="39" t="s">
        <v>58</v>
      </c>
      <c r="AO3" s="39" t="s">
        <v>57</v>
      </c>
      <c r="AP3" s="39" t="s">
        <v>56</v>
      </c>
      <c r="AQ3" s="40" t="s">
        <v>55</v>
      </c>
      <c r="AR3" s="39" t="s">
        <v>54</v>
      </c>
      <c r="AS3" s="39" t="s">
        <v>53</v>
      </c>
      <c r="AT3" s="40" t="s">
        <v>52</v>
      </c>
      <c r="AU3" s="39" t="s">
        <v>51</v>
      </c>
      <c r="AV3" s="38" t="s">
        <v>50</v>
      </c>
      <c r="AW3" s="38" t="s">
        <v>49</v>
      </c>
      <c r="AX3" s="59" t="s">
        <v>48</v>
      </c>
      <c r="AY3" s="1"/>
    </row>
    <row r="4" spans="1:60" ht="19.5" thickBot="1" x14ac:dyDescent="0.35">
      <c r="A4" s="141" t="s">
        <v>0</v>
      </c>
      <c r="B4" s="142"/>
      <c r="C4" s="142"/>
      <c r="D4" s="163"/>
      <c r="E4" s="24" t="s">
        <v>47</v>
      </c>
      <c r="F4" s="24"/>
      <c r="G4" s="24" t="s">
        <v>106</v>
      </c>
      <c r="H4" s="24">
        <v>45997</v>
      </c>
      <c r="I4" s="24">
        <v>45990</v>
      </c>
      <c r="J4" s="24">
        <v>45983</v>
      </c>
      <c r="K4" s="24">
        <v>45976</v>
      </c>
      <c r="L4" s="24">
        <v>45969</v>
      </c>
      <c r="M4" s="24">
        <v>45962</v>
      </c>
      <c r="N4" s="24">
        <v>45955</v>
      </c>
      <c r="O4" s="24">
        <v>45948</v>
      </c>
      <c r="P4" s="24">
        <v>45941</v>
      </c>
      <c r="Q4" s="24">
        <v>45934</v>
      </c>
      <c r="R4" s="10" t="s">
        <v>39</v>
      </c>
      <c r="S4" s="10">
        <v>45927</v>
      </c>
      <c r="T4" s="10">
        <v>45920</v>
      </c>
      <c r="U4" s="10">
        <v>45913</v>
      </c>
      <c r="V4" s="10">
        <v>45906</v>
      </c>
      <c r="W4" s="10">
        <v>45899</v>
      </c>
      <c r="X4" s="10">
        <v>45892</v>
      </c>
      <c r="Y4" s="10">
        <v>45885</v>
      </c>
      <c r="Z4" s="10">
        <v>45878</v>
      </c>
      <c r="AA4" s="114" t="s">
        <v>90</v>
      </c>
      <c r="AB4" s="106">
        <v>45836</v>
      </c>
      <c r="AC4" s="11">
        <v>45829</v>
      </c>
      <c r="AD4" s="12">
        <v>45822</v>
      </c>
      <c r="AE4" s="13">
        <v>45815</v>
      </c>
      <c r="AF4" s="13">
        <v>45808</v>
      </c>
      <c r="AG4" s="13">
        <v>45801</v>
      </c>
      <c r="AH4" s="14">
        <v>45794</v>
      </c>
      <c r="AI4" s="15">
        <v>45787</v>
      </c>
      <c r="AJ4" s="15">
        <v>45780</v>
      </c>
      <c r="AK4" s="15">
        <v>45773</v>
      </c>
      <c r="AL4" s="16">
        <v>45766</v>
      </c>
      <c r="AM4" s="37" t="s">
        <v>59</v>
      </c>
      <c r="AN4" s="38" t="s">
        <v>59</v>
      </c>
      <c r="AO4" s="41">
        <v>45759</v>
      </c>
      <c r="AP4" s="41">
        <v>45752</v>
      </c>
      <c r="AQ4" s="48">
        <v>45745</v>
      </c>
      <c r="AR4" s="41">
        <v>45738</v>
      </c>
      <c r="AS4" s="41">
        <v>45731</v>
      </c>
      <c r="AT4" s="44">
        <v>45724</v>
      </c>
      <c r="AU4" s="41">
        <v>45717</v>
      </c>
      <c r="AV4" s="41">
        <v>45710</v>
      </c>
      <c r="AW4" s="41">
        <v>45703</v>
      </c>
      <c r="AX4" s="60">
        <v>45696</v>
      </c>
      <c r="AY4" s="1"/>
    </row>
    <row r="5" spans="1:60" ht="20.25" thickTop="1" thickBot="1" x14ac:dyDescent="0.35">
      <c r="A5" s="172" t="s">
        <v>1</v>
      </c>
      <c r="B5" s="173"/>
      <c r="C5" s="173"/>
      <c r="D5" s="174"/>
      <c r="E5" s="28"/>
      <c r="F5" s="28"/>
      <c r="G5" s="135">
        <f>SUM(H5:Q5)/10</f>
        <v>0.45090000000000002</v>
      </c>
      <c r="H5" s="130">
        <v>0.17199999999999999</v>
      </c>
      <c r="I5" s="122">
        <v>1.36</v>
      </c>
      <c r="J5" s="122">
        <v>0.5</v>
      </c>
      <c r="K5" s="127">
        <v>0.23699999999999999</v>
      </c>
      <c r="L5" s="130">
        <v>0.12</v>
      </c>
      <c r="M5" s="127">
        <v>0.23300000000000001</v>
      </c>
      <c r="N5" s="127">
        <v>0.22500000000000001</v>
      </c>
      <c r="O5" s="122">
        <v>0.81699999999999995</v>
      </c>
      <c r="P5" s="127">
        <v>0.26100000000000001</v>
      </c>
      <c r="Q5" s="122">
        <v>0.58399999999999996</v>
      </c>
      <c r="R5" s="119">
        <f>SUM(S5:Z5)/8</f>
        <v>2.3892500000000001</v>
      </c>
      <c r="S5" s="110">
        <v>1.264</v>
      </c>
      <c r="T5" s="110">
        <v>1.3879999999999999</v>
      </c>
      <c r="U5" s="110">
        <v>2.0659999999999998</v>
      </c>
      <c r="V5" s="110">
        <v>2.347</v>
      </c>
      <c r="W5" s="110">
        <v>5.875</v>
      </c>
      <c r="X5" s="110">
        <v>2.0329999999999999</v>
      </c>
      <c r="Y5" s="110">
        <v>3.3</v>
      </c>
      <c r="Z5" s="110">
        <v>0.84099999999999997</v>
      </c>
      <c r="AA5" s="115">
        <f>SUM(AB5:AL5)/11</f>
        <v>2.9508181818181822</v>
      </c>
      <c r="AB5" s="113">
        <v>2.5409999999999999</v>
      </c>
      <c r="AC5" s="99">
        <v>1.375</v>
      </c>
      <c r="AD5" s="94">
        <v>2.4500000000000002</v>
      </c>
      <c r="AE5" s="95">
        <v>0.77500000000000002</v>
      </c>
      <c r="AF5" s="95">
        <v>1.7250000000000001</v>
      </c>
      <c r="AG5" s="95">
        <v>0.9</v>
      </c>
      <c r="AH5" s="94">
        <v>0.74099999999999999</v>
      </c>
      <c r="AI5" s="86">
        <v>8.09</v>
      </c>
      <c r="AJ5" s="75">
        <v>1.008</v>
      </c>
      <c r="AK5" s="75">
        <v>1.3049999999999999</v>
      </c>
      <c r="AL5" s="65">
        <v>11.548999999999999</v>
      </c>
      <c r="AM5" s="79" t="s">
        <v>62</v>
      </c>
      <c r="AN5" s="51">
        <v>2.323</v>
      </c>
      <c r="AO5" s="43">
        <v>3.4009999999999998</v>
      </c>
      <c r="AP5" s="43">
        <v>2.032</v>
      </c>
      <c r="AQ5" s="49">
        <v>1.581</v>
      </c>
      <c r="AR5" s="43">
        <v>7.6139999999999999</v>
      </c>
      <c r="AS5" s="43">
        <v>3.3109999999999999</v>
      </c>
      <c r="AT5" s="45">
        <v>1.04</v>
      </c>
      <c r="AU5" s="43">
        <v>2.7210000000000001</v>
      </c>
      <c r="AV5" s="43">
        <v>1.377</v>
      </c>
      <c r="AW5" s="43">
        <v>0.14699999999999999</v>
      </c>
      <c r="AX5" s="61">
        <v>8.0000000000000002E-3</v>
      </c>
    </row>
    <row r="6" spans="1:60" ht="19.5" thickBot="1" x14ac:dyDescent="0.35">
      <c r="A6" s="156" t="s">
        <v>2</v>
      </c>
      <c r="B6" s="157"/>
      <c r="C6" s="157"/>
      <c r="D6" s="164"/>
      <c r="E6" s="29"/>
      <c r="F6" s="29"/>
      <c r="G6" s="135">
        <f t="shared" ref="G6:G30" si="0">SUM(H6:Q6)/10</f>
        <v>0.39890000000000009</v>
      </c>
      <c r="H6" s="62">
        <v>4.9000000000000002E-2</v>
      </c>
      <c r="I6" s="64">
        <v>0.73299999999999998</v>
      </c>
      <c r="J6" s="63">
        <v>0.29399999999999998</v>
      </c>
      <c r="K6" s="63">
        <v>0.219</v>
      </c>
      <c r="L6" s="63">
        <v>0.311</v>
      </c>
      <c r="M6" s="63">
        <v>0.224</v>
      </c>
      <c r="N6" s="64">
        <v>0.53</v>
      </c>
      <c r="O6" s="63">
        <v>0.32500000000000001</v>
      </c>
      <c r="P6" s="64">
        <v>0.52400000000000002</v>
      </c>
      <c r="Q6" s="64">
        <v>0.78</v>
      </c>
      <c r="R6" s="120">
        <f t="shared" ref="R6:R30" si="1">SUM(S6:Z6)/8</f>
        <v>1.592125</v>
      </c>
      <c r="S6" s="111">
        <v>1.3360000000000001</v>
      </c>
      <c r="T6" s="111">
        <v>2.202</v>
      </c>
      <c r="U6" s="111">
        <v>1.833</v>
      </c>
      <c r="V6" s="111">
        <v>1.6060000000000001</v>
      </c>
      <c r="W6" s="111">
        <v>1.415</v>
      </c>
      <c r="X6" s="111">
        <v>1.4830000000000001</v>
      </c>
      <c r="Y6" s="111">
        <v>0.998</v>
      </c>
      <c r="Z6" s="111">
        <v>1.8640000000000001</v>
      </c>
      <c r="AA6" s="115">
        <f t="shared" ref="AA6:AA30" si="2">SUM(AB6:AL6)/11</f>
        <v>1.5202727272727272</v>
      </c>
      <c r="AB6" s="111">
        <v>1.0569999999999999</v>
      </c>
      <c r="AC6" s="100">
        <v>1.482</v>
      </c>
      <c r="AD6" s="18">
        <v>1.65</v>
      </c>
      <c r="AE6" s="18">
        <v>1.8919999999999999</v>
      </c>
      <c r="AF6" s="18">
        <v>2.407</v>
      </c>
      <c r="AG6" s="18">
        <v>1.603</v>
      </c>
      <c r="AH6" s="89">
        <v>1.345</v>
      </c>
      <c r="AI6" s="87">
        <v>0.98799999999999999</v>
      </c>
      <c r="AJ6" s="76">
        <v>0.96499999999999997</v>
      </c>
      <c r="AK6" s="76">
        <v>1.859</v>
      </c>
      <c r="AL6" s="66">
        <v>1.4750000000000001</v>
      </c>
      <c r="AM6" s="78" t="s">
        <v>67</v>
      </c>
      <c r="AN6" s="51">
        <v>1.629</v>
      </c>
      <c r="AO6" s="18">
        <v>3.0579999999999998</v>
      </c>
      <c r="AP6" s="18">
        <v>4.7759999999999998</v>
      </c>
      <c r="AQ6" s="18">
        <v>2.2080000000000002</v>
      </c>
      <c r="AR6" s="18">
        <v>1.6919999999999999</v>
      </c>
      <c r="AS6" s="18">
        <v>1.9410000000000001</v>
      </c>
      <c r="AT6" s="46">
        <v>0.311</v>
      </c>
      <c r="AU6" s="18">
        <v>0.84399999999999997</v>
      </c>
      <c r="AV6" s="18">
        <v>1.034</v>
      </c>
      <c r="AW6" s="19">
        <v>0.32200000000000001</v>
      </c>
      <c r="AX6" s="62">
        <v>9.4E-2</v>
      </c>
    </row>
    <row r="7" spans="1:60" ht="19.5" thickBot="1" x14ac:dyDescent="0.35">
      <c r="A7" s="156" t="s">
        <v>3</v>
      </c>
      <c r="B7" s="157"/>
      <c r="C7" s="157"/>
      <c r="D7" s="164"/>
      <c r="E7" s="29"/>
      <c r="F7" s="29"/>
      <c r="G7" s="135">
        <f t="shared" si="0"/>
        <v>0.42309999999999998</v>
      </c>
      <c r="H7" s="63">
        <v>0.21299999999999999</v>
      </c>
      <c r="I7" s="64">
        <v>0.64500000000000002</v>
      </c>
      <c r="J7" s="62">
        <v>6.4000000000000001E-2</v>
      </c>
      <c r="K7" s="62">
        <v>5.8999999999999997E-2</v>
      </c>
      <c r="L7" s="62">
        <v>1.2E-2</v>
      </c>
      <c r="M7" s="62">
        <v>5.0999999999999997E-2</v>
      </c>
      <c r="N7" s="63">
        <v>0.371</v>
      </c>
      <c r="O7" s="64">
        <v>0.67300000000000004</v>
      </c>
      <c r="P7" s="64">
        <v>1.177</v>
      </c>
      <c r="Q7" s="64">
        <v>0.96599999999999997</v>
      </c>
      <c r="R7" s="120">
        <f t="shared" si="1"/>
        <v>1.46875</v>
      </c>
      <c r="S7" s="111">
        <v>1.744</v>
      </c>
      <c r="T7" s="111">
        <v>1.35</v>
      </c>
      <c r="U7" s="111">
        <v>1.0660000000000001</v>
      </c>
      <c r="V7" s="111">
        <v>1.4079999999999999</v>
      </c>
      <c r="W7" s="111">
        <v>1.4259999999999999</v>
      </c>
      <c r="X7" s="111">
        <v>1.698</v>
      </c>
      <c r="Y7" s="111">
        <v>1.4179999999999999</v>
      </c>
      <c r="Z7" s="111">
        <v>1.64</v>
      </c>
      <c r="AA7" s="115">
        <f t="shared" si="2"/>
        <v>2.1991818181818186</v>
      </c>
      <c r="AB7" s="111">
        <v>1.72</v>
      </c>
      <c r="AC7" s="100">
        <v>1.575</v>
      </c>
      <c r="AD7" s="18">
        <v>2.62</v>
      </c>
      <c r="AE7" s="18">
        <v>2.1789999999999998</v>
      </c>
      <c r="AF7" s="18">
        <v>3.9950000000000001</v>
      </c>
      <c r="AG7" s="18">
        <v>5.0620000000000003</v>
      </c>
      <c r="AH7" s="90">
        <v>2.6</v>
      </c>
      <c r="AI7" s="87">
        <v>2.137</v>
      </c>
      <c r="AJ7" s="76">
        <v>0.79400000000000004</v>
      </c>
      <c r="AK7" s="76">
        <v>0.872</v>
      </c>
      <c r="AL7" s="66">
        <v>0.63700000000000001</v>
      </c>
      <c r="AM7" s="78" t="s">
        <v>66</v>
      </c>
      <c r="AN7" s="51">
        <v>1.645</v>
      </c>
      <c r="AO7" s="18">
        <v>1.613</v>
      </c>
      <c r="AP7" s="18">
        <v>1.5669999999999999</v>
      </c>
      <c r="AQ7" s="18">
        <v>3.0609999999999999</v>
      </c>
      <c r="AR7" s="18">
        <v>3.4980000000000002</v>
      </c>
      <c r="AS7" s="18">
        <v>1.54</v>
      </c>
      <c r="AT7" s="25">
        <v>1.8220000000000001</v>
      </c>
      <c r="AU7" s="18">
        <v>1.3620000000000001</v>
      </c>
      <c r="AV7" s="18">
        <v>1.1379999999999999</v>
      </c>
      <c r="AW7" s="18">
        <v>0.84899999999999998</v>
      </c>
      <c r="AX7" s="62">
        <v>0</v>
      </c>
    </row>
    <row r="8" spans="1:60" ht="19.5" thickBot="1" x14ac:dyDescent="0.35">
      <c r="A8" s="169" t="s">
        <v>4</v>
      </c>
      <c r="B8" s="170"/>
      <c r="C8" s="170"/>
      <c r="D8" s="171"/>
      <c r="E8" s="30"/>
      <c r="F8" s="30"/>
      <c r="G8" s="135">
        <f t="shared" si="0"/>
        <v>1.6212999999999997</v>
      </c>
      <c r="H8" s="128">
        <v>1.0999999999999999E-2</v>
      </c>
      <c r="I8" s="123">
        <v>1.08</v>
      </c>
      <c r="J8" s="126">
        <v>0.35599999999999998</v>
      </c>
      <c r="K8" s="123">
        <v>1.1830000000000001</v>
      </c>
      <c r="L8" s="123">
        <v>0.39</v>
      </c>
      <c r="M8" s="123">
        <v>1.9650000000000001</v>
      </c>
      <c r="N8" s="123">
        <v>1.5860000000000001</v>
      </c>
      <c r="O8" s="123">
        <v>3.0569999999999999</v>
      </c>
      <c r="P8" s="123">
        <v>4.7809999999999997</v>
      </c>
      <c r="Q8" s="123">
        <v>1.804</v>
      </c>
      <c r="R8" s="121">
        <f t="shared" si="1"/>
        <v>1.421875</v>
      </c>
      <c r="S8" s="96">
        <v>0.747</v>
      </c>
      <c r="T8" s="117">
        <v>0.19700000000000001</v>
      </c>
      <c r="U8" s="96">
        <v>1.0109999999999999</v>
      </c>
      <c r="V8" s="96">
        <v>1.1619999999999999</v>
      </c>
      <c r="W8" s="96">
        <v>2.806</v>
      </c>
      <c r="X8" s="96">
        <v>2.2149999999999999</v>
      </c>
      <c r="Y8" s="96">
        <v>2.5219999999999998</v>
      </c>
      <c r="Z8" s="96">
        <v>0.71499999999999997</v>
      </c>
      <c r="AA8" s="115">
        <f t="shared" si="2"/>
        <v>3.2189999999999999</v>
      </c>
      <c r="AB8" s="96">
        <v>2.375</v>
      </c>
      <c r="AC8" s="101">
        <v>1.2270000000000001</v>
      </c>
      <c r="AD8" s="97">
        <v>1.8520000000000001</v>
      </c>
      <c r="AE8" s="97">
        <v>3.1019999999999999</v>
      </c>
      <c r="AF8" s="97">
        <v>2.5</v>
      </c>
      <c r="AG8" s="96">
        <v>2.5110000000000001</v>
      </c>
      <c r="AH8" s="91">
        <v>6.5679999999999996</v>
      </c>
      <c r="AI8" s="87">
        <v>8.2289999999999992</v>
      </c>
      <c r="AJ8" s="76">
        <v>3.1030000000000002</v>
      </c>
      <c r="AK8" s="76">
        <v>2.8159999999999998</v>
      </c>
      <c r="AL8" s="67">
        <v>1.1259999999999999</v>
      </c>
      <c r="AM8" s="78" t="s">
        <v>77</v>
      </c>
      <c r="AN8" s="51">
        <v>0.83199999999999996</v>
      </c>
      <c r="AO8" s="18">
        <v>1.839</v>
      </c>
      <c r="AP8" s="19">
        <v>0.35599999999999998</v>
      </c>
      <c r="AQ8" s="18">
        <v>1.804</v>
      </c>
      <c r="AR8" s="18">
        <v>2.4359999999999999</v>
      </c>
      <c r="AS8" s="20">
        <v>0.10299999999999999</v>
      </c>
      <c r="AT8" s="26">
        <v>4.4999999999999998E-2</v>
      </c>
      <c r="AU8" s="18">
        <v>0.94199999999999995</v>
      </c>
      <c r="AV8" s="18">
        <v>0.79300000000000004</v>
      </c>
      <c r="AW8" s="20">
        <v>0</v>
      </c>
      <c r="AX8" s="62">
        <v>0</v>
      </c>
    </row>
    <row r="9" spans="1:60" ht="19.5" thickBot="1" x14ac:dyDescent="0.35">
      <c r="A9" s="169" t="s">
        <v>5</v>
      </c>
      <c r="B9" s="170"/>
      <c r="C9" s="170"/>
      <c r="D9" s="171"/>
      <c r="E9" s="30"/>
      <c r="F9" s="30"/>
      <c r="G9" s="135">
        <f t="shared" si="0"/>
        <v>0.77629999999999999</v>
      </c>
      <c r="H9" s="128">
        <v>5.2999999999999999E-2</v>
      </c>
      <c r="I9" s="123">
        <v>0.96899999999999997</v>
      </c>
      <c r="J9" s="123">
        <v>0.56200000000000006</v>
      </c>
      <c r="K9" s="123">
        <v>0.42</v>
      </c>
      <c r="L9" s="128">
        <v>0.16200000000000001</v>
      </c>
      <c r="M9" s="123">
        <v>1.109</v>
      </c>
      <c r="N9" s="123">
        <v>1.212</v>
      </c>
      <c r="O9" s="123">
        <v>0.50800000000000001</v>
      </c>
      <c r="P9" s="123">
        <v>1.413</v>
      </c>
      <c r="Q9" s="123">
        <v>1.355</v>
      </c>
      <c r="R9" s="120">
        <f t="shared" si="1"/>
        <v>1.9450000000000001</v>
      </c>
      <c r="S9" s="96">
        <v>2.0419999999999998</v>
      </c>
      <c r="T9" s="96">
        <v>1.345</v>
      </c>
      <c r="U9" s="96">
        <v>1.7889999999999999</v>
      </c>
      <c r="V9" s="96">
        <v>1.5569999999999999</v>
      </c>
      <c r="W9" s="96">
        <v>2.4990000000000001</v>
      </c>
      <c r="X9" s="96">
        <v>2.64</v>
      </c>
      <c r="Y9" s="96">
        <v>2.6280000000000001</v>
      </c>
      <c r="Z9" s="96">
        <v>1.06</v>
      </c>
      <c r="AA9" s="115">
        <f t="shared" si="2"/>
        <v>1.6448181818181815</v>
      </c>
      <c r="AB9" s="96">
        <v>1.327</v>
      </c>
      <c r="AC9" s="101">
        <v>1.286</v>
      </c>
      <c r="AD9" s="97">
        <v>3.129</v>
      </c>
      <c r="AE9" s="97">
        <v>2.2919999999999998</v>
      </c>
      <c r="AF9" s="97">
        <v>2.04</v>
      </c>
      <c r="AG9" s="97">
        <v>1.748</v>
      </c>
      <c r="AH9" s="92">
        <v>1.982</v>
      </c>
      <c r="AI9" s="87">
        <v>0.95299999999999996</v>
      </c>
      <c r="AJ9" s="76">
        <v>1.2010000000000001</v>
      </c>
      <c r="AK9" s="76">
        <v>1.3540000000000001</v>
      </c>
      <c r="AL9" s="66">
        <v>0.78100000000000003</v>
      </c>
      <c r="AM9" s="78" t="s">
        <v>63</v>
      </c>
      <c r="AN9" s="51">
        <v>2.3149999999999999</v>
      </c>
      <c r="AO9" s="18">
        <v>1.91</v>
      </c>
      <c r="AP9" s="18">
        <v>4.875</v>
      </c>
      <c r="AQ9" s="18">
        <v>5.8719999999999999</v>
      </c>
      <c r="AR9" s="18">
        <v>3.8170000000000002</v>
      </c>
      <c r="AS9" s="18">
        <v>3.3359999999999999</v>
      </c>
      <c r="AT9" s="25">
        <v>0.42599999999999999</v>
      </c>
      <c r="AU9" s="18">
        <v>1.0449999999999999</v>
      </c>
      <c r="AV9" s="18">
        <v>1.859</v>
      </c>
      <c r="AW9" s="20">
        <v>1.4E-2</v>
      </c>
      <c r="AX9" s="62">
        <v>0</v>
      </c>
    </row>
    <row r="10" spans="1:60" ht="19.5" thickBot="1" x14ac:dyDescent="0.35">
      <c r="A10" s="161" t="s">
        <v>6</v>
      </c>
      <c r="B10" s="162"/>
      <c r="C10" s="162"/>
      <c r="D10" s="165"/>
      <c r="E10" s="30"/>
      <c r="F10" s="30"/>
      <c r="G10" s="135">
        <f t="shared" si="0"/>
        <v>0.51639999999999997</v>
      </c>
      <c r="H10" s="123">
        <v>0.58399999999999996</v>
      </c>
      <c r="I10" s="126">
        <v>0.22500000000000001</v>
      </c>
      <c r="J10" s="126">
        <v>0.34799999999999998</v>
      </c>
      <c r="K10" s="123">
        <v>0.8</v>
      </c>
      <c r="L10" s="128">
        <v>0</v>
      </c>
      <c r="M10" s="128">
        <v>0</v>
      </c>
      <c r="N10" s="128">
        <v>0.01</v>
      </c>
      <c r="O10" s="123">
        <v>0.68700000000000006</v>
      </c>
      <c r="P10" s="123">
        <v>1.107</v>
      </c>
      <c r="Q10" s="123">
        <v>1.403</v>
      </c>
      <c r="R10" s="120">
        <f t="shared" si="1"/>
        <v>2.9930000000000003</v>
      </c>
      <c r="S10" s="96">
        <v>2.0510000000000002</v>
      </c>
      <c r="T10" s="96">
        <v>2.7330000000000001</v>
      </c>
      <c r="U10" s="96">
        <v>2.8660000000000001</v>
      </c>
      <c r="V10" s="96">
        <v>2.794</v>
      </c>
      <c r="W10" s="96">
        <v>3.5750000000000002</v>
      </c>
      <c r="X10" s="96">
        <v>3.4849999999999999</v>
      </c>
      <c r="Y10" s="96">
        <v>3.61</v>
      </c>
      <c r="Z10" s="96">
        <v>2.83</v>
      </c>
      <c r="AA10" s="115">
        <f t="shared" si="2"/>
        <v>3.0709999999999997</v>
      </c>
      <c r="AB10" s="96">
        <v>3.5950000000000002</v>
      </c>
      <c r="AC10" s="101">
        <v>3.78</v>
      </c>
      <c r="AD10" s="97">
        <v>2.68</v>
      </c>
      <c r="AE10" s="97">
        <v>2.59</v>
      </c>
      <c r="AF10" s="97">
        <v>2.92</v>
      </c>
      <c r="AG10" s="97">
        <v>4.585</v>
      </c>
      <c r="AH10" s="90">
        <v>2.9550000000000001</v>
      </c>
      <c r="AI10" s="87">
        <v>3.4510000000000001</v>
      </c>
      <c r="AJ10" s="76">
        <v>2.3730000000000002</v>
      </c>
      <c r="AK10" s="76">
        <v>2.6709999999999998</v>
      </c>
      <c r="AL10" s="66">
        <v>2.181</v>
      </c>
      <c r="AM10" s="78" t="s">
        <v>61</v>
      </c>
      <c r="AN10" s="51">
        <v>2.6579999999999999</v>
      </c>
      <c r="AO10" s="18">
        <v>4.0750000000000002</v>
      </c>
      <c r="AP10" s="18">
        <v>2.7170000000000001</v>
      </c>
      <c r="AQ10" s="18">
        <v>2.2370000000000001</v>
      </c>
      <c r="AR10" s="18">
        <v>2.3679999999999999</v>
      </c>
      <c r="AS10" s="18">
        <v>2.383</v>
      </c>
      <c r="AT10" s="25">
        <v>1.075</v>
      </c>
      <c r="AU10" s="18">
        <v>4.8029999999999999</v>
      </c>
      <c r="AV10" s="18">
        <v>2.681</v>
      </c>
      <c r="AW10" s="18">
        <v>3.9689999999999999</v>
      </c>
      <c r="AX10" s="63">
        <v>0.27200000000000002</v>
      </c>
    </row>
    <row r="11" spans="1:60" ht="19.5" thickBot="1" x14ac:dyDescent="0.35">
      <c r="A11" s="161" t="s">
        <v>7</v>
      </c>
      <c r="B11" s="162"/>
      <c r="C11" s="162"/>
      <c r="D11" s="165"/>
      <c r="E11" s="30"/>
      <c r="F11" s="30"/>
      <c r="G11" s="135">
        <f t="shared" si="0"/>
        <v>1.0165999999999999</v>
      </c>
      <c r="H11" s="123">
        <v>1.113</v>
      </c>
      <c r="I11" s="123">
        <v>1.958</v>
      </c>
      <c r="J11" s="126">
        <v>0.34399999999999997</v>
      </c>
      <c r="K11" s="123">
        <v>1</v>
      </c>
      <c r="L11" s="128">
        <v>0.182</v>
      </c>
      <c r="M11" s="123">
        <v>1.1819999999999999</v>
      </c>
      <c r="N11" s="123">
        <v>1.1479999999999999</v>
      </c>
      <c r="O11" s="123">
        <v>1.24</v>
      </c>
      <c r="P11" s="123">
        <v>1.01</v>
      </c>
      <c r="Q11" s="123">
        <v>0.98899999999999999</v>
      </c>
      <c r="R11" s="120">
        <f t="shared" si="1"/>
        <v>2.7868750000000002</v>
      </c>
      <c r="S11" s="96">
        <v>1.891</v>
      </c>
      <c r="T11" s="96">
        <v>2.157</v>
      </c>
      <c r="U11" s="96">
        <v>2.609</v>
      </c>
      <c r="V11" s="96">
        <v>2.706</v>
      </c>
      <c r="W11" s="96">
        <v>6.7240000000000002</v>
      </c>
      <c r="X11" s="96">
        <v>2.71</v>
      </c>
      <c r="Y11" s="96">
        <v>2.2330000000000001</v>
      </c>
      <c r="Z11" s="96">
        <v>1.2649999999999999</v>
      </c>
      <c r="AA11" s="115">
        <f t="shared" si="2"/>
        <v>1.8803636363636358</v>
      </c>
      <c r="AB11" s="96">
        <v>2.5379999999999998</v>
      </c>
      <c r="AC11" s="101">
        <v>1.524</v>
      </c>
      <c r="AD11" s="97">
        <v>2.2130000000000001</v>
      </c>
      <c r="AE11" s="97">
        <v>2.1779999999999999</v>
      </c>
      <c r="AF11" s="97">
        <v>2.1320000000000001</v>
      </c>
      <c r="AG11" s="97">
        <v>2.8420000000000001</v>
      </c>
      <c r="AH11" s="90">
        <v>1.734</v>
      </c>
      <c r="AI11" s="87">
        <v>1.474</v>
      </c>
      <c r="AJ11" s="76">
        <v>1.49</v>
      </c>
      <c r="AK11" s="76">
        <v>1.0860000000000001</v>
      </c>
      <c r="AL11" s="66">
        <v>1.4730000000000001</v>
      </c>
      <c r="AM11" s="78" t="s">
        <v>71</v>
      </c>
      <c r="AN11" s="51">
        <v>1.1240000000000001</v>
      </c>
      <c r="AO11" s="18">
        <v>1.7010000000000001</v>
      </c>
      <c r="AP11" s="18">
        <v>1.421</v>
      </c>
      <c r="AQ11" s="18">
        <v>1.1930000000000001</v>
      </c>
      <c r="AR11" s="18">
        <v>1.68</v>
      </c>
      <c r="AS11" s="18">
        <v>1.6950000000000001</v>
      </c>
      <c r="AT11" s="25">
        <v>0.82099999999999995</v>
      </c>
      <c r="AU11" s="18">
        <v>1.0269999999999999</v>
      </c>
      <c r="AV11" s="18">
        <v>1.236</v>
      </c>
      <c r="AW11" s="18">
        <v>0.46400000000000002</v>
      </c>
      <c r="AX11" s="62">
        <v>3.0000000000000001E-3</v>
      </c>
    </row>
    <row r="12" spans="1:60" ht="19.5" thickBot="1" x14ac:dyDescent="0.35">
      <c r="A12" s="166" t="s">
        <v>8</v>
      </c>
      <c r="B12" s="167"/>
      <c r="C12" s="167"/>
      <c r="D12" s="168"/>
      <c r="E12" s="30"/>
      <c r="F12" s="30"/>
      <c r="G12" s="135">
        <f t="shared" si="0"/>
        <v>0.48799999999999988</v>
      </c>
      <c r="H12" s="128">
        <v>0.188</v>
      </c>
      <c r="I12" s="126">
        <v>0.35399999999999998</v>
      </c>
      <c r="J12" s="128">
        <v>0.193</v>
      </c>
      <c r="K12" s="126">
        <v>0.28899999999999998</v>
      </c>
      <c r="L12" s="126">
        <v>0.2</v>
      </c>
      <c r="M12" s="123">
        <v>0.54400000000000004</v>
      </c>
      <c r="N12" s="123">
        <v>0.435</v>
      </c>
      <c r="O12" s="123">
        <v>0.82499999999999996</v>
      </c>
      <c r="P12" s="123">
        <v>0.65900000000000003</v>
      </c>
      <c r="Q12" s="123">
        <v>1.1930000000000001</v>
      </c>
      <c r="R12" s="120">
        <f t="shared" si="1"/>
        <v>2.1078749999999999</v>
      </c>
      <c r="S12" s="96">
        <v>2.2839999999999998</v>
      </c>
      <c r="T12" s="96">
        <v>0.93400000000000005</v>
      </c>
      <c r="U12" s="96">
        <v>1.8660000000000001</v>
      </c>
      <c r="V12" s="96">
        <v>1.532</v>
      </c>
      <c r="W12" s="96">
        <v>2.5640000000000001</v>
      </c>
      <c r="X12" s="96">
        <v>2.4609999999999999</v>
      </c>
      <c r="Y12" s="96">
        <v>2.3340000000000001</v>
      </c>
      <c r="Z12" s="96">
        <v>2.8879999999999999</v>
      </c>
      <c r="AA12" s="115">
        <f t="shared" si="2"/>
        <v>2.8114545454545454</v>
      </c>
      <c r="AB12" s="96">
        <v>8.4979999999999993</v>
      </c>
      <c r="AC12" s="101">
        <v>1.599</v>
      </c>
      <c r="AD12" s="97">
        <v>4.2839999999999998</v>
      </c>
      <c r="AE12" s="97">
        <v>3.0510000000000002</v>
      </c>
      <c r="AF12" s="97">
        <v>2.7370000000000001</v>
      </c>
      <c r="AG12" s="97">
        <v>3.7839999999999998</v>
      </c>
      <c r="AH12" s="90">
        <v>3.3069999999999999</v>
      </c>
      <c r="AI12" s="87">
        <v>1.8939999999999999</v>
      </c>
      <c r="AJ12" s="76">
        <v>0.60799999999999998</v>
      </c>
      <c r="AK12" s="76">
        <v>0.39200000000000002</v>
      </c>
      <c r="AL12" s="66">
        <v>0.77200000000000002</v>
      </c>
      <c r="AM12" s="78" t="s">
        <v>69</v>
      </c>
      <c r="AN12" s="51">
        <v>1.2689999999999999</v>
      </c>
      <c r="AO12" s="18">
        <v>2.012</v>
      </c>
      <c r="AP12" s="18">
        <v>1.3029999999999999</v>
      </c>
      <c r="AQ12" s="18">
        <v>2.6469999999999998</v>
      </c>
      <c r="AR12" s="18">
        <v>1.99</v>
      </c>
      <c r="AS12" s="18">
        <v>1.369</v>
      </c>
      <c r="AT12" s="25">
        <v>0.434</v>
      </c>
      <c r="AU12" s="18">
        <v>1.006</v>
      </c>
      <c r="AV12" s="18">
        <v>0.94099999999999995</v>
      </c>
      <c r="AW12" s="18">
        <v>0.81699999999999995</v>
      </c>
      <c r="AX12" s="62">
        <v>0.17399999999999999</v>
      </c>
    </row>
    <row r="13" spans="1:60" ht="19.5" thickBot="1" x14ac:dyDescent="0.35">
      <c r="A13" s="169" t="s">
        <v>9</v>
      </c>
      <c r="B13" s="170"/>
      <c r="C13" s="170"/>
      <c r="D13" s="171"/>
      <c r="E13" s="30"/>
      <c r="F13" s="30"/>
      <c r="G13" s="135">
        <f t="shared" si="0"/>
        <v>0.42709999999999998</v>
      </c>
      <c r="H13" s="128">
        <v>8.5000000000000006E-2</v>
      </c>
      <c r="I13" s="128">
        <v>0.05</v>
      </c>
      <c r="J13" s="128">
        <v>0.115</v>
      </c>
      <c r="K13" s="128">
        <v>0.17299999999999999</v>
      </c>
      <c r="L13" s="128">
        <v>0.17699999999999999</v>
      </c>
      <c r="M13" s="123">
        <v>0.38</v>
      </c>
      <c r="N13" s="123">
        <v>0.81499999999999995</v>
      </c>
      <c r="O13" s="123">
        <v>0.71699999999999997</v>
      </c>
      <c r="P13" s="123">
        <v>0.82699999999999996</v>
      </c>
      <c r="Q13" s="123">
        <v>0.93200000000000005</v>
      </c>
      <c r="R13" s="120">
        <f t="shared" si="1"/>
        <v>2.2196249999999997</v>
      </c>
      <c r="S13" s="96">
        <v>2.1160000000000001</v>
      </c>
      <c r="T13" s="96">
        <v>1.274</v>
      </c>
      <c r="U13" s="96">
        <v>2.262</v>
      </c>
      <c r="V13" s="96">
        <v>1.6539999999999999</v>
      </c>
      <c r="W13" s="96">
        <v>3.4529999999999998</v>
      </c>
      <c r="X13" s="96">
        <v>3.1709999999999998</v>
      </c>
      <c r="Y13" s="96">
        <v>2.464</v>
      </c>
      <c r="Z13" s="96">
        <v>1.363</v>
      </c>
      <c r="AA13" s="115">
        <f t="shared" si="2"/>
        <v>1.6783636363636367</v>
      </c>
      <c r="AB13" s="96">
        <v>1.4890000000000001</v>
      </c>
      <c r="AC13" s="101">
        <v>1.0660000000000001</v>
      </c>
      <c r="AD13" s="97">
        <v>0.98</v>
      </c>
      <c r="AE13" s="97">
        <v>3.2909999999999999</v>
      </c>
      <c r="AF13" s="97">
        <v>2.2999999999999998</v>
      </c>
      <c r="AG13" s="97">
        <v>1.3129999999999999</v>
      </c>
      <c r="AH13" s="90">
        <v>1.907</v>
      </c>
      <c r="AI13" s="87">
        <v>1.766</v>
      </c>
      <c r="AJ13" s="76">
        <v>0.89100000000000001</v>
      </c>
      <c r="AK13" s="76">
        <v>1.726</v>
      </c>
      <c r="AL13" s="66">
        <v>1.7330000000000001</v>
      </c>
      <c r="AM13" s="78" t="s">
        <v>65</v>
      </c>
      <c r="AN13" s="51">
        <v>1.7270000000000001</v>
      </c>
      <c r="AO13" s="18">
        <v>3.782</v>
      </c>
      <c r="AP13" s="18">
        <v>2.4220000000000002</v>
      </c>
      <c r="AQ13" s="18">
        <v>3.2589999999999999</v>
      </c>
      <c r="AR13" s="18">
        <v>2.036</v>
      </c>
      <c r="AS13" s="18">
        <v>2.2400000000000002</v>
      </c>
      <c r="AT13" s="46">
        <v>0.33600000000000002</v>
      </c>
      <c r="AU13" s="18">
        <v>1.43</v>
      </c>
      <c r="AV13" s="18">
        <v>0.91500000000000004</v>
      </c>
      <c r="AW13" s="18">
        <v>0.85399999999999998</v>
      </c>
      <c r="AX13" s="62">
        <v>0</v>
      </c>
    </row>
    <row r="14" spans="1:60" ht="19.5" thickBot="1" x14ac:dyDescent="0.35">
      <c r="A14" s="166" t="s">
        <v>10</v>
      </c>
      <c r="B14" s="167"/>
      <c r="C14" s="167"/>
      <c r="D14" s="168"/>
      <c r="E14" s="30"/>
      <c r="F14" s="30"/>
      <c r="G14" s="137">
        <f t="shared" si="0"/>
        <v>0.20230000000000001</v>
      </c>
      <c r="H14" s="128">
        <v>0</v>
      </c>
      <c r="I14" s="128">
        <v>0</v>
      </c>
      <c r="J14" s="128">
        <v>0</v>
      </c>
      <c r="K14" s="128">
        <v>0.01</v>
      </c>
      <c r="L14" s="128">
        <v>0</v>
      </c>
      <c r="M14" s="128">
        <v>0</v>
      </c>
      <c r="N14" s="128">
        <v>0.05</v>
      </c>
      <c r="O14" s="123">
        <v>1.381</v>
      </c>
      <c r="P14" s="126">
        <v>0.308</v>
      </c>
      <c r="Q14" s="126">
        <v>0.27400000000000002</v>
      </c>
      <c r="R14" s="120">
        <f t="shared" si="1"/>
        <v>1.6691249999999997</v>
      </c>
      <c r="S14" s="96">
        <v>2.246</v>
      </c>
      <c r="T14" s="96">
        <v>1.2170000000000001</v>
      </c>
      <c r="U14" s="96">
        <v>1.718</v>
      </c>
      <c r="V14" s="96">
        <v>2.7360000000000002</v>
      </c>
      <c r="W14" s="96">
        <v>1.1359999999999999</v>
      </c>
      <c r="X14" s="96">
        <v>1.5009999999999999</v>
      </c>
      <c r="Y14" s="96">
        <v>2.0960000000000001</v>
      </c>
      <c r="Z14" s="96">
        <v>0.70299999999999996</v>
      </c>
      <c r="AA14" s="115">
        <f t="shared" si="2"/>
        <v>0.71981818181818169</v>
      </c>
      <c r="AB14" s="96">
        <v>2.9510000000000001</v>
      </c>
      <c r="AC14" s="102">
        <v>0.25600000000000001</v>
      </c>
      <c r="AD14" s="97">
        <v>0.53100000000000003</v>
      </c>
      <c r="AE14" s="97">
        <v>0.60499999999999998</v>
      </c>
      <c r="AF14" s="97">
        <v>0.72499999999999998</v>
      </c>
      <c r="AG14" s="97">
        <v>0.82099999999999995</v>
      </c>
      <c r="AH14" s="88">
        <v>0.318</v>
      </c>
      <c r="AI14" s="87">
        <v>0.47599999999999998</v>
      </c>
      <c r="AJ14" s="82">
        <v>0.31</v>
      </c>
      <c r="AK14" s="76">
        <v>0.627</v>
      </c>
      <c r="AL14" s="70">
        <v>0.29799999999999999</v>
      </c>
      <c r="AM14" s="78" t="s">
        <v>86</v>
      </c>
      <c r="AN14" s="50">
        <v>0.28499999999999998</v>
      </c>
      <c r="AO14" s="18">
        <v>0.73299999999999998</v>
      </c>
      <c r="AP14" s="18">
        <v>0.46800000000000003</v>
      </c>
      <c r="AQ14" s="18">
        <v>0.67300000000000004</v>
      </c>
      <c r="AR14" s="19">
        <v>0.36299999999999999</v>
      </c>
      <c r="AS14" s="18">
        <v>0.49099999999999999</v>
      </c>
      <c r="AT14" s="26">
        <v>8.6999999999999994E-2</v>
      </c>
      <c r="AU14" s="20">
        <v>1.6E-2</v>
      </c>
      <c r="AV14" s="20">
        <v>1.6E-2</v>
      </c>
      <c r="AW14" s="20">
        <v>0</v>
      </c>
      <c r="AX14" s="62">
        <v>0</v>
      </c>
      <c r="BH14" s="2"/>
    </row>
    <row r="15" spans="1:60" ht="19.5" thickBot="1" x14ac:dyDescent="0.35">
      <c r="A15" s="166" t="s">
        <v>11</v>
      </c>
      <c r="B15" s="167"/>
      <c r="C15" s="167"/>
      <c r="D15" s="168"/>
      <c r="E15" s="30"/>
      <c r="F15" s="30"/>
      <c r="G15" s="135">
        <f t="shared" si="0"/>
        <v>0.92910000000000004</v>
      </c>
      <c r="H15" s="123">
        <v>0.94499999999999995</v>
      </c>
      <c r="I15" s="123">
        <v>0.81</v>
      </c>
      <c r="J15" s="123">
        <v>1</v>
      </c>
      <c r="K15" s="123">
        <v>0.89100000000000001</v>
      </c>
      <c r="L15" s="128">
        <v>2.7E-2</v>
      </c>
      <c r="M15" s="123">
        <v>0.97199999999999998</v>
      </c>
      <c r="N15" s="123">
        <v>1</v>
      </c>
      <c r="O15" s="123">
        <v>0.91800000000000004</v>
      </c>
      <c r="P15" s="123">
        <v>0.89100000000000001</v>
      </c>
      <c r="Q15" s="123">
        <v>1.837</v>
      </c>
      <c r="R15" s="120">
        <f t="shared" si="1"/>
        <v>2.002875</v>
      </c>
      <c r="S15" s="96">
        <v>1.3779999999999999</v>
      </c>
      <c r="T15" s="96">
        <v>2.621</v>
      </c>
      <c r="U15" s="96">
        <v>1.4319999999999999</v>
      </c>
      <c r="V15" s="96">
        <v>2.7829999999999999</v>
      </c>
      <c r="W15" s="96">
        <v>4.5940000000000003</v>
      </c>
      <c r="X15" s="96">
        <v>1.081</v>
      </c>
      <c r="Y15" s="96">
        <v>1.1619999999999999</v>
      </c>
      <c r="Z15" s="96">
        <v>0.97199999999999998</v>
      </c>
      <c r="AA15" s="115">
        <f t="shared" si="2"/>
        <v>1.1338181818181818</v>
      </c>
      <c r="AB15" s="96">
        <v>1.0549999999999999</v>
      </c>
      <c r="AC15" s="101">
        <v>1.0269999999999999</v>
      </c>
      <c r="AD15" s="97">
        <v>0.91600000000000004</v>
      </c>
      <c r="AE15" s="97">
        <v>1.333</v>
      </c>
      <c r="AF15" s="97">
        <v>1.3049999999999999</v>
      </c>
      <c r="AG15" s="97">
        <v>1.25</v>
      </c>
      <c r="AH15" s="90">
        <v>1.333</v>
      </c>
      <c r="AI15" s="87">
        <v>1.1279999999999999</v>
      </c>
      <c r="AJ15" s="76">
        <v>1.2250000000000001</v>
      </c>
      <c r="AK15" s="76">
        <v>1.2749999999999999</v>
      </c>
      <c r="AL15" s="68">
        <v>0.625</v>
      </c>
      <c r="AM15" s="80" t="s">
        <v>81</v>
      </c>
      <c r="AN15" s="51">
        <v>0.66500000000000004</v>
      </c>
      <c r="AO15" s="42">
        <v>1.125</v>
      </c>
      <c r="AP15" s="42">
        <v>0.4</v>
      </c>
      <c r="AQ15" s="42">
        <v>1.1000000000000001</v>
      </c>
      <c r="AR15" s="42">
        <v>1.45</v>
      </c>
      <c r="AS15" s="42">
        <v>0.95</v>
      </c>
      <c r="AT15" s="47">
        <v>0.3</v>
      </c>
      <c r="AU15" s="42">
        <v>0.42499999999999999</v>
      </c>
      <c r="AV15" s="42">
        <v>0.47499999999999998</v>
      </c>
      <c r="AW15" s="42">
        <v>0.42499999999999999</v>
      </c>
      <c r="AX15" s="62">
        <v>0</v>
      </c>
    </row>
    <row r="16" spans="1:60" ht="19.5" thickBot="1" x14ac:dyDescent="0.35">
      <c r="A16" s="161" t="s">
        <v>12</v>
      </c>
      <c r="B16" s="162"/>
      <c r="C16" s="162"/>
      <c r="D16" s="165"/>
      <c r="E16" s="30"/>
      <c r="F16" s="30"/>
      <c r="G16" s="135">
        <f t="shared" si="0"/>
        <v>0.62540000000000007</v>
      </c>
      <c r="H16" s="126">
        <v>0.32500000000000001</v>
      </c>
      <c r="I16" s="123">
        <v>0.99199999999999999</v>
      </c>
      <c r="J16" s="126">
        <v>0.33500000000000002</v>
      </c>
      <c r="K16" s="123">
        <v>0.41899999999999998</v>
      </c>
      <c r="L16" s="126">
        <v>0.253</v>
      </c>
      <c r="M16" s="123">
        <v>0.50600000000000001</v>
      </c>
      <c r="N16" s="123">
        <v>0.54</v>
      </c>
      <c r="O16" s="123">
        <v>0.72699999999999998</v>
      </c>
      <c r="P16" s="123">
        <v>0.66300000000000003</v>
      </c>
      <c r="Q16" s="123">
        <v>1.494</v>
      </c>
      <c r="R16" s="120">
        <f t="shared" si="1"/>
        <v>1.7608750000000002</v>
      </c>
      <c r="S16" s="96">
        <v>1.81</v>
      </c>
      <c r="T16" s="96">
        <v>2.1480000000000001</v>
      </c>
      <c r="U16" s="96">
        <v>3.5720000000000001</v>
      </c>
      <c r="V16" s="96">
        <v>1.5369999999999999</v>
      </c>
      <c r="W16" s="96">
        <v>2.0819999999999999</v>
      </c>
      <c r="X16" s="96">
        <v>1.2090000000000001</v>
      </c>
      <c r="Y16" s="96">
        <v>1.2010000000000001</v>
      </c>
      <c r="Z16" s="96">
        <v>0.52800000000000002</v>
      </c>
      <c r="AA16" s="115">
        <f t="shared" si="2"/>
        <v>0.97727272727272707</v>
      </c>
      <c r="AB16" s="96">
        <v>1.8779999999999999</v>
      </c>
      <c r="AC16" s="101">
        <v>1.292</v>
      </c>
      <c r="AD16" s="97">
        <v>1.498</v>
      </c>
      <c r="AE16" s="97">
        <v>1.3120000000000001</v>
      </c>
      <c r="AF16" s="97">
        <v>0.88500000000000001</v>
      </c>
      <c r="AG16" s="97">
        <v>0.997</v>
      </c>
      <c r="AH16" s="90">
        <v>0.57499999999999996</v>
      </c>
      <c r="AI16" s="87">
        <v>0.76100000000000001</v>
      </c>
      <c r="AJ16" s="76">
        <v>0.57999999999999996</v>
      </c>
      <c r="AK16" s="76">
        <v>0.53200000000000003</v>
      </c>
      <c r="AL16" s="66">
        <v>0.44</v>
      </c>
      <c r="AM16" s="78" t="s">
        <v>82</v>
      </c>
      <c r="AN16" s="51">
        <v>0.66200000000000003</v>
      </c>
      <c r="AO16" s="18">
        <v>1.081</v>
      </c>
      <c r="AP16" s="18">
        <v>1.2809999999999999</v>
      </c>
      <c r="AQ16" s="18">
        <v>1.46</v>
      </c>
      <c r="AR16" s="18">
        <v>0.98299999999999998</v>
      </c>
      <c r="AS16" s="19">
        <v>0.372</v>
      </c>
      <c r="AT16" s="46">
        <v>0.20100000000000001</v>
      </c>
      <c r="AU16" s="19">
        <v>0.26600000000000001</v>
      </c>
      <c r="AV16" s="18">
        <v>0.40699999999999997</v>
      </c>
      <c r="AW16" s="18">
        <v>0.97399999999999998</v>
      </c>
      <c r="AX16" s="62">
        <v>8.9999999999999993E-3</v>
      </c>
    </row>
    <row r="17" spans="1:50" ht="19.5" thickBot="1" x14ac:dyDescent="0.35">
      <c r="A17" s="71" t="s">
        <v>13</v>
      </c>
      <c r="B17" s="72"/>
      <c r="C17" s="72"/>
      <c r="D17" s="72"/>
      <c r="E17" s="30"/>
      <c r="F17" s="30"/>
      <c r="G17" s="136">
        <f t="shared" si="0"/>
        <v>9.8000000000000004E-2</v>
      </c>
      <c r="H17" s="128">
        <v>1.2E-2</v>
      </c>
      <c r="I17" s="128">
        <v>2.4E-2</v>
      </c>
      <c r="J17" s="128">
        <v>3.6999999999999998E-2</v>
      </c>
      <c r="K17" s="128">
        <v>7.3999999999999996E-2</v>
      </c>
      <c r="L17" s="128">
        <v>3.4000000000000002E-2</v>
      </c>
      <c r="M17" s="128">
        <v>8.6999999999999994E-2</v>
      </c>
      <c r="N17" s="128">
        <v>0.123</v>
      </c>
      <c r="O17" s="128">
        <v>0.122</v>
      </c>
      <c r="P17" s="126">
        <v>0.21299999999999999</v>
      </c>
      <c r="Q17" s="126">
        <v>0.254</v>
      </c>
      <c r="R17" s="120">
        <f t="shared" si="1"/>
        <v>1.7431249999999998</v>
      </c>
      <c r="S17" s="96">
        <v>0.995</v>
      </c>
      <c r="T17" s="96">
        <v>0.71799999999999997</v>
      </c>
      <c r="U17" s="96">
        <v>0.80900000000000005</v>
      </c>
      <c r="V17" s="96">
        <v>0.755</v>
      </c>
      <c r="W17" s="96">
        <v>4.1589999999999998</v>
      </c>
      <c r="X17" s="96">
        <v>2.09</v>
      </c>
      <c r="Y17" s="96">
        <v>2.6619999999999999</v>
      </c>
      <c r="Z17" s="96">
        <v>1.7569999999999999</v>
      </c>
      <c r="AA17" s="115">
        <f t="shared" si="2"/>
        <v>1.289818181818182</v>
      </c>
      <c r="AB17" s="96">
        <v>1.175</v>
      </c>
      <c r="AC17" s="101">
        <v>0.80800000000000005</v>
      </c>
      <c r="AD17" s="97">
        <v>0.58699999999999997</v>
      </c>
      <c r="AE17" s="97">
        <v>1.252</v>
      </c>
      <c r="AF17" s="97">
        <v>2.7250000000000001</v>
      </c>
      <c r="AG17" s="97">
        <v>2.153</v>
      </c>
      <c r="AH17" s="90">
        <v>1.8839999999999999</v>
      </c>
      <c r="AI17" s="87">
        <v>1.3839999999999999</v>
      </c>
      <c r="AJ17" s="76">
        <v>0.74399999999999999</v>
      </c>
      <c r="AK17" s="76">
        <v>1.081</v>
      </c>
      <c r="AL17" s="66">
        <v>0.39500000000000002</v>
      </c>
      <c r="AM17" s="78" t="s">
        <v>79</v>
      </c>
      <c r="AN17" s="51">
        <v>0.70899999999999996</v>
      </c>
      <c r="AO17" s="18">
        <v>0.88200000000000001</v>
      </c>
      <c r="AP17" s="18">
        <v>0.79300000000000004</v>
      </c>
      <c r="AQ17" s="18">
        <v>0.73099999999999998</v>
      </c>
      <c r="AR17" s="18">
        <v>1.4630000000000001</v>
      </c>
      <c r="AS17" s="18">
        <v>0.61799999999999999</v>
      </c>
      <c r="AT17" s="25">
        <v>0.52600000000000002</v>
      </c>
      <c r="AU17" s="18">
        <v>0.51800000000000002</v>
      </c>
      <c r="AV17" s="18">
        <v>0.52400000000000002</v>
      </c>
      <c r="AW17" s="18">
        <v>1.0169999999999999</v>
      </c>
      <c r="AX17" s="62">
        <v>1.4999999999999999E-2</v>
      </c>
    </row>
    <row r="18" spans="1:50" ht="19.5" thickBot="1" x14ac:dyDescent="0.35">
      <c r="A18" s="166" t="s">
        <v>14</v>
      </c>
      <c r="B18" s="167"/>
      <c r="C18" s="167"/>
      <c r="D18" s="168"/>
      <c r="E18" s="30"/>
      <c r="F18" s="30"/>
      <c r="G18" s="135">
        <f t="shared" si="0"/>
        <v>0.46329999999999999</v>
      </c>
      <c r="H18" s="123">
        <v>1.018</v>
      </c>
      <c r="I18" s="123">
        <v>0.82799999999999996</v>
      </c>
      <c r="J18" s="128">
        <v>0.14399999999999999</v>
      </c>
      <c r="K18" s="126">
        <v>0.29699999999999999</v>
      </c>
      <c r="L18" s="128">
        <v>3.5000000000000003E-2</v>
      </c>
      <c r="M18" s="123">
        <v>0.41899999999999998</v>
      </c>
      <c r="N18" s="123">
        <v>0.81200000000000006</v>
      </c>
      <c r="O18" s="126">
        <v>0.27400000000000002</v>
      </c>
      <c r="P18" s="123">
        <v>0.56999999999999995</v>
      </c>
      <c r="Q18" s="126">
        <v>0.23599999999999999</v>
      </c>
      <c r="R18" s="120">
        <f t="shared" si="1"/>
        <v>0.83550000000000002</v>
      </c>
      <c r="S18" s="96">
        <v>0.89400000000000002</v>
      </c>
      <c r="T18" s="96">
        <v>0.99099999999999999</v>
      </c>
      <c r="U18" s="96">
        <v>0.61399999999999999</v>
      </c>
      <c r="V18" s="96">
        <v>0.58699999999999997</v>
      </c>
      <c r="W18" s="96">
        <v>0.71599999999999997</v>
      </c>
      <c r="X18" s="96">
        <v>1.141</v>
      </c>
      <c r="Y18" s="96">
        <v>1.1910000000000001</v>
      </c>
      <c r="Z18" s="96">
        <v>0.55000000000000004</v>
      </c>
      <c r="AA18" s="115">
        <f t="shared" si="2"/>
        <v>1.1182727272727271</v>
      </c>
      <c r="AB18" s="96">
        <v>0.9</v>
      </c>
      <c r="AC18" s="101">
        <v>0.72499999999999998</v>
      </c>
      <c r="AD18" s="97">
        <v>0.54100000000000004</v>
      </c>
      <c r="AE18" s="97">
        <v>1.133</v>
      </c>
      <c r="AF18" s="97">
        <v>1.1659999999999999</v>
      </c>
      <c r="AG18" s="97">
        <v>1.0660000000000001</v>
      </c>
      <c r="AH18" s="90">
        <v>1.1579999999999999</v>
      </c>
      <c r="AI18" s="87">
        <v>2.19</v>
      </c>
      <c r="AJ18" s="76">
        <v>1.0329999999999999</v>
      </c>
      <c r="AK18" s="76">
        <v>1.016</v>
      </c>
      <c r="AL18" s="66">
        <v>1.373</v>
      </c>
      <c r="AM18" s="78" t="s">
        <v>73</v>
      </c>
      <c r="AN18" s="51">
        <v>1.002</v>
      </c>
      <c r="AO18" s="18">
        <v>1.341</v>
      </c>
      <c r="AP18" s="18">
        <v>3.2759999999999998</v>
      </c>
      <c r="AQ18" s="18">
        <v>1.593</v>
      </c>
      <c r="AR18" s="18">
        <v>1.1779999999999999</v>
      </c>
      <c r="AS18" s="18">
        <v>0.98299999999999998</v>
      </c>
      <c r="AT18" s="26">
        <v>0.113</v>
      </c>
      <c r="AU18" s="18">
        <v>0.54400000000000004</v>
      </c>
      <c r="AV18" s="18">
        <v>0.72299999999999998</v>
      </c>
      <c r="AW18" s="19">
        <v>0.26800000000000002</v>
      </c>
      <c r="AX18" s="62">
        <v>0</v>
      </c>
    </row>
    <row r="19" spans="1:50" ht="19.5" thickBot="1" x14ac:dyDescent="0.35">
      <c r="A19" s="71" t="s">
        <v>15</v>
      </c>
      <c r="B19" s="72"/>
      <c r="C19" s="72"/>
      <c r="D19" s="72"/>
      <c r="E19" s="30"/>
      <c r="F19" s="30"/>
      <c r="G19" s="135">
        <f t="shared" si="0"/>
        <v>0.58140000000000003</v>
      </c>
      <c r="H19" s="128">
        <v>4.9000000000000002E-2</v>
      </c>
      <c r="I19" s="126">
        <v>0.34200000000000003</v>
      </c>
      <c r="J19" s="126">
        <v>0.318</v>
      </c>
      <c r="K19" s="128">
        <v>0.121</v>
      </c>
      <c r="L19" s="128">
        <v>0.13300000000000001</v>
      </c>
      <c r="M19" s="126">
        <v>0.20899999999999999</v>
      </c>
      <c r="N19" s="123">
        <v>0.73799999999999999</v>
      </c>
      <c r="O19" s="123">
        <v>0.54600000000000004</v>
      </c>
      <c r="P19" s="123">
        <v>0.877</v>
      </c>
      <c r="Q19" s="123">
        <v>2.4809999999999999</v>
      </c>
      <c r="R19" s="120">
        <f t="shared" si="1"/>
        <v>2.1355</v>
      </c>
      <c r="S19" s="96">
        <v>4.4909999999999997</v>
      </c>
      <c r="T19" s="96">
        <v>1.7769999999999999</v>
      </c>
      <c r="U19" s="96">
        <v>1.2569999999999999</v>
      </c>
      <c r="V19" s="96">
        <v>1.94</v>
      </c>
      <c r="W19" s="96">
        <v>2.9359999999999999</v>
      </c>
      <c r="X19" s="96">
        <v>1.7609999999999999</v>
      </c>
      <c r="Y19" s="96">
        <v>1.823</v>
      </c>
      <c r="Z19" s="96">
        <v>1.099</v>
      </c>
      <c r="AA19" s="115">
        <f t="shared" si="2"/>
        <v>1.9000909090909088</v>
      </c>
      <c r="AB19" s="96">
        <v>1.6120000000000001</v>
      </c>
      <c r="AC19" s="101">
        <v>1.4650000000000001</v>
      </c>
      <c r="AD19" s="97">
        <v>2.0609999999999999</v>
      </c>
      <c r="AE19" s="97">
        <v>1.97</v>
      </c>
      <c r="AF19" s="97">
        <v>1.788</v>
      </c>
      <c r="AG19" s="97">
        <v>2.1749999999999998</v>
      </c>
      <c r="AH19" s="90">
        <v>2.5859999999999999</v>
      </c>
      <c r="AI19" s="87">
        <v>1.966</v>
      </c>
      <c r="AJ19" s="76">
        <v>1.3140000000000001</v>
      </c>
      <c r="AK19" s="76">
        <v>2.012</v>
      </c>
      <c r="AL19" s="66">
        <v>1.952</v>
      </c>
      <c r="AM19" s="78" t="s">
        <v>64</v>
      </c>
      <c r="AN19" s="51">
        <v>1.7809999999999999</v>
      </c>
      <c r="AO19" s="18">
        <v>3.5390000000000001</v>
      </c>
      <c r="AP19" s="18">
        <v>2.891</v>
      </c>
      <c r="AQ19" s="18">
        <v>2.3109999999999999</v>
      </c>
      <c r="AR19" s="18">
        <v>2.75</v>
      </c>
      <c r="AS19" s="18">
        <v>1.93</v>
      </c>
      <c r="AT19" s="25">
        <v>1.484</v>
      </c>
      <c r="AU19" s="18">
        <v>0.97199999999999998</v>
      </c>
      <c r="AV19" s="18">
        <v>1.88</v>
      </c>
      <c r="AW19" s="20">
        <v>5.5E-2</v>
      </c>
      <c r="AX19" s="62">
        <v>0</v>
      </c>
    </row>
    <row r="20" spans="1:50" ht="19.5" thickBot="1" x14ac:dyDescent="0.35">
      <c r="A20" s="166" t="s">
        <v>16</v>
      </c>
      <c r="B20" s="167"/>
      <c r="C20" s="167"/>
      <c r="D20" s="168"/>
      <c r="E20" s="30"/>
      <c r="F20" s="30"/>
      <c r="G20" s="136">
        <f t="shared" si="0"/>
        <v>0.1119</v>
      </c>
      <c r="H20" s="128">
        <v>7.0000000000000001E-3</v>
      </c>
      <c r="I20" s="128">
        <v>8.9999999999999993E-3</v>
      </c>
      <c r="J20" s="128">
        <v>0.01</v>
      </c>
      <c r="K20" s="128">
        <v>2.1000000000000001E-2</v>
      </c>
      <c r="L20" s="128">
        <v>7.0000000000000001E-3</v>
      </c>
      <c r="M20" s="128">
        <v>1.0999999999999999E-2</v>
      </c>
      <c r="N20" s="128">
        <v>1.4E-2</v>
      </c>
      <c r="O20" s="128">
        <v>5.0999999999999997E-2</v>
      </c>
      <c r="P20" s="123">
        <v>0.47</v>
      </c>
      <c r="Q20" s="123">
        <v>0.51900000000000002</v>
      </c>
      <c r="R20" s="120">
        <f t="shared" si="1"/>
        <v>1.1843750000000002</v>
      </c>
      <c r="S20" s="96">
        <v>0.625</v>
      </c>
      <c r="T20" s="96">
        <v>0.66500000000000004</v>
      </c>
      <c r="U20" s="96">
        <v>0.75600000000000001</v>
      </c>
      <c r="V20" s="96">
        <v>0.95499999999999996</v>
      </c>
      <c r="W20" s="96">
        <v>2.319</v>
      </c>
      <c r="X20" s="96">
        <v>1.171</v>
      </c>
      <c r="Y20" s="96">
        <v>1.8220000000000001</v>
      </c>
      <c r="Z20" s="96">
        <v>1.1619999999999999</v>
      </c>
      <c r="AA20" s="115">
        <f t="shared" si="2"/>
        <v>1.6780909090909091</v>
      </c>
      <c r="AB20" s="96">
        <v>2.0430000000000001</v>
      </c>
      <c r="AC20" s="101">
        <v>1.1359999999999999</v>
      </c>
      <c r="AD20" s="97">
        <v>1.222</v>
      </c>
      <c r="AE20" s="97">
        <v>1.3740000000000001</v>
      </c>
      <c r="AF20" s="97">
        <v>2.62</v>
      </c>
      <c r="AG20" s="97">
        <v>1.722</v>
      </c>
      <c r="AH20" s="90">
        <v>2.3359999999999999</v>
      </c>
      <c r="AI20" s="87">
        <v>1.8140000000000001</v>
      </c>
      <c r="AJ20" s="76">
        <v>1.1679999999999999</v>
      </c>
      <c r="AK20" s="76">
        <v>1.53</v>
      </c>
      <c r="AL20" s="66">
        <v>1.494</v>
      </c>
      <c r="AM20" s="78" t="s">
        <v>72</v>
      </c>
      <c r="AN20" s="51">
        <v>1.032</v>
      </c>
      <c r="AO20" s="18">
        <v>2.0750000000000002</v>
      </c>
      <c r="AP20" s="18">
        <v>0.997</v>
      </c>
      <c r="AQ20" s="18">
        <v>1.7689999999999999</v>
      </c>
      <c r="AR20" s="18">
        <v>1.478</v>
      </c>
      <c r="AS20" s="18">
        <v>0.95099999999999996</v>
      </c>
      <c r="AT20" s="46">
        <v>0.33700000000000002</v>
      </c>
      <c r="AU20" s="18">
        <v>0.72299999999999998</v>
      </c>
      <c r="AV20" s="18">
        <v>0.60899999999999999</v>
      </c>
      <c r="AW20" s="18">
        <v>0.77</v>
      </c>
      <c r="AX20" s="64">
        <v>0.61099999999999999</v>
      </c>
    </row>
    <row r="21" spans="1:50" ht="19.5" thickBot="1" x14ac:dyDescent="0.35">
      <c r="A21" s="161" t="s">
        <v>17</v>
      </c>
      <c r="B21" s="162"/>
      <c r="C21" s="162"/>
      <c r="D21" s="165"/>
      <c r="E21" s="30"/>
      <c r="F21" s="30"/>
      <c r="G21" s="137">
        <f t="shared" si="0"/>
        <v>0.34010000000000001</v>
      </c>
      <c r="H21" s="128">
        <v>0.16800000000000001</v>
      </c>
      <c r="I21" s="123">
        <v>0.56399999999999995</v>
      </c>
      <c r="J21" s="128">
        <v>8.0000000000000002E-3</v>
      </c>
      <c r="K21" s="126">
        <v>0.23200000000000001</v>
      </c>
      <c r="L21" s="128">
        <v>0.186</v>
      </c>
      <c r="M21" s="128">
        <v>0.16400000000000001</v>
      </c>
      <c r="N21" s="126">
        <v>0.32400000000000001</v>
      </c>
      <c r="O21" s="123">
        <v>0.52700000000000002</v>
      </c>
      <c r="P21" s="123">
        <v>0.498</v>
      </c>
      <c r="Q21" s="123">
        <v>0.73</v>
      </c>
      <c r="R21" s="120">
        <f t="shared" si="1"/>
        <v>1.7122499999999998</v>
      </c>
      <c r="S21" s="96">
        <v>2.0659999999999998</v>
      </c>
      <c r="T21" s="96">
        <v>1.2729999999999999</v>
      </c>
      <c r="U21" s="96">
        <v>1.9330000000000001</v>
      </c>
      <c r="V21" s="96">
        <v>1.2809999999999999</v>
      </c>
      <c r="W21" s="96">
        <v>2.09</v>
      </c>
      <c r="X21" s="96">
        <v>2.181</v>
      </c>
      <c r="Y21" s="96">
        <v>1.0529999999999999</v>
      </c>
      <c r="Z21" s="96">
        <v>1.821</v>
      </c>
      <c r="AA21" s="115">
        <f t="shared" si="2"/>
        <v>2.0525454545454549</v>
      </c>
      <c r="AB21" s="96">
        <v>1.2609999999999999</v>
      </c>
      <c r="AC21" s="101">
        <v>2.3439999999999999</v>
      </c>
      <c r="AD21" s="97">
        <v>3.4319999999999999</v>
      </c>
      <c r="AE21" s="97">
        <v>0.84199999999999997</v>
      </c>
      <c r="AF21" s="97">
        <v>6.6879999999999997</v>
      </c>
      <c r="AG21" s="97">
        <v>3.1040000000000001</v>
      </c>
      <c r="AH21" s="90">
        <v>2.2400000000000002</v>
      </c>
      <c r="AI21" s="87">
        <v>0.71499999999999997</v>
      </c>
      <c r="AJ21" s="76">
        <v>1.01</v>
      </c>
      <c r="AK21" s="76">
        <v>0.56699999999999995</v>
      </c>
      <c r="AL21" s="66">
        <v>0.375</v>
      </c>
      <c r="AM21" s="78" t="s">
        <v>68</v>
      </c>
      <c r="AN21" s="51">
        <v>1.3129999999999999</v>
      </c>
      <c r="AO21" s="18">
        <v>3.07</v>
      </c>
      <c r="AP21" s="18">
        <v>2.335</v>
      </c>
      <c r="AQ21" s="18">
        <v>1.9079999999999999</v>
      </c>
      <c r="AR21" s="18">
        <v>2.9550000000000001</v>
      </c>
      <c r="AS21" s="18">
        <v>0.93400000000000005</v>
      </c>
      <c r="AT21" s="46">
        <v>0.251</v>
      </c>
      <c r="AU21" s="18">
        <v>0.46400000000000002</v>
      </c>
      <c r="AV21" s="18">
        <v>0.89500000000000002</v>
      </c>
      <c r="AW21" s="18">
        <v>0.32200000000000001</v>
      </c>
      <c r="AX21" s="62">
        <v>0</v>
      </c>
    </row>
    <row r="22" spans="1:50" ht="19.5" thickBot="1" x14ac:dyDescent="0.35">
      <c r="A22" s="71" t="s">
        <v>18</v>
      </c>
      <c r="B22" s="72"/>
      <c r="C22" s="72"/>
      <c r="D22" s="72"/>
      <c r="E22" s="30"/>
      <c r="F22" s="30"/>
      <c r="G22" s="137">
        <f t="shared" si="0"/>
        <v>0.34</v>
      </c>
      <c r="H22" s="128">
        <v>5.6000000000000001E-2</v>
      </c>
      <c r="I22" s="126">
        <v>0.27500000000000002</v>
      </c>
      <c r="J22" s="128">
        <v>7.5999999999999998E-2</v>
      </c>
      <c r="K22" s="126">
        <v>0.23599999999999999</v>
      </c>
      <c r="L22" s="131">
        <v>0.17399999999999999</v>
      </c>
      <c r="M22" s="123">
        <v>0.375</v>
      </c>
      <c r="N22" s="123">
        <v>0.60499999999999998</v>
      </c>
      <c r="O22" s="123">
        <v>0.51700000000000002</v>
      </c>
      <c r="P22" s="123">
        <v>0.54800000000000004</v>
      </c>
      <c r="Q22" s="123">
        <v>0.53800000000000003</v>
      </c>
      <c r="R22" s="120">
        <f t="shared" si="1"/>
        <v>0.96325000000000005</v>
      </c>
      <c r="S22" s="96">
        <v>1.1160000000000001</v>
      </c>
      <c r="T22" s="96">
        <v>0.46600000000000003</v>
      </c>
      <c r="U22" s="96">
        <v>1.2609999999999999</v>
      </c>
      <c r="V22" s="96">
        <v>1.4179999999999999</v>
      </c>
      <c r="W22" s="96">
        <v>1.181</v>
      </c>
      <c r="X22" s="96">
        <v>1.2010000000000001</v>
      </c>
      <c r="Y22" s="96">
        <v>0.63200000000000001</v>
      </c>
      <c r="Z22" s="96">
        <v>0.43099999999999999</v>
      </c>
      <c r="AA22" s="115">
        <f t="shared" si="2"/>
        <v>1.3034545454545456</v>
      </c>
      <c r="AB22" s="96">
        <v>1.177</v>
      </c>
      <c r="AC22" s="101">
        <v>0.85699999999999998</v>
      </c>
      <c r="AD22" s="97">
        <v>1.607</v>
      </c>
      <c r="AE22" s="97">
        <v>2.0190000000000001</v>
      </c>
      <c r="AF22" s="97">
        <v>0.92100000000000004</v>
      </c>
      <c r="AG22" s="97">
        <v>1.9059999999999999</v>
      </c>
      <c r="AH22" s="90">
        <v>1.2689999999999999</v>
      </c>
      <c r="AI22" s="87">
        <v>1.8140000000000001</v>
      </c>
      <c r="AJ22" s="76">
        <v>0.52400000000000002</v>
      </c>
      <c r="AK22" s="76">
        <v>1.167</v>
      </c>
      <c r="AL22" s="66">
        <v>1.077</v>
      </c>
      <c r="AM22" s="78" t="s">
        <v>75</v>
      </c>
      <c r="AN22" s="51">
        <v>0.88800000000000001</v>
      </c>
      <c r="AO22" s="18">
        <v>1.5169999999999999</v>
      </c>
      <c r="AP22" s="18">
        <v>0.59399999999999997</v>
      </c>
      <c r="AQ22" s="18">
        <v>2.8490000000000002</v>
      </c>
      <c r="AR22" s="18">
        <v>1.6910000000000001</v>
      </c>
      <c r="AS22" s="18">
        <v>0.64600000000000002</v>
      </c>
      <c r="AT22" s="46">
        <v>0.307</v>
      </c>
      <c r="AU22" s="18">
        <v>0.66100000000000003</v>
      </c>
      <c r="AV22" s="18">
        <v>0.52300000000000002</v>
      </c>
      <c r="AW22" s="20">
        <v>8.8999999999999996E-2</v>
      </c>
      <c r="AX22" s="62">
        <v>0</v>
      </c>
    </row>
    <row r="23" spans="1:50" ht="19.5" thickBot="1" x14ac:dyDescent="0.35">
      <c r="A23" s="166" t="s">
        <v>19</v>
      </c>
      <c r="B23" s="167"/>
      <c r="C23" s="167"/>
      <c r="D23" s="168"/>
      <c r="E23" s="30"/>
      <c r="F23" s="30"/>
      <c r="G23" s="135">
        <f t="shared" si="0"/>
        <v>0.48840000000000006</v>
      </c>
      <c r="H23" s="128">
        <v>8.0000000000000002E-3</v>
      </c>
      <c r="I23" s="128">
        <v>3.2000000000000001E-2</v>
      </c>
      <c r="J23" s="128">
        <v>0.14799999999999999</v>
      </c>
      <c r="K23" s="126">
        <v>0.26200000000000001</v>
      </c>
      <c r="L23" s="128">
        <v>0.121</v>
      </c>
      <c r="M23" s="126">
        <v>0.32300000000000001</v>
      </c>
      <c r="N23" s="123">
        <v>0.54600000000000004</v>
      </c>
      <c r="O23" s="123">
        <v>0.93</v>
      </c>
      <c r="P23" s="123">
        <v>1.032</v>
      </c>
      <c r="Q23" s="123">
        <v>1.482</v>
      </c>
      <c r="R23" s="120">
        <f t="shared" si="1"/>
        <v>1.429125</v>
      </c>
      <c r="S23" s="96">
        <v>1.956</v>
      </c>
      <c r="T23" s="117">
        <v>0.10299999999999999</v>
      </c>
      <c r="U23" s="96">
        <v>1.2350000000000001</v>
      </c>
      <c r="V23" s="96">
        <v>1.532</v>
      </c>
      <c r="W23" s="96">
        <v>1.7729999999999999</v>
      </c>
      <c r="X23" s="96">
        <v>1.85</v>
      </c>
      <c r="Y23" s="96">
        <v>2.1709999999999998</v>
      </c>
      <c r="Z23" s="96">
        <v>0.81299999999999994</v>
      </c>
      <c r="AA23" s="115">
        <f t="shared" si="2"/>
        <v>1.8020909090909092</v>
      </c>
      <c r="AB23" s="96">
        <v>1.0229999999999999</v>
      </c>
      <c r="AC23" s="101">
        <v>1.1120000000000001</v>
      </c>
      <c r="AD23" s="97">
        <v>0.48099999999999998</v>
      </c>
      <c r="AE23" s="97">
        <v>1.5049999999999999</v>
      </c>
      <c r="AF23" s="97">
        <v>3.7370000000000001</v>
      </c>
      <c r="AG23" s="97">
        <v>2.496</v>
      </c>
      <c r="AH23" s="90">
        <v>1.655</v>
      </c>
      <c r="AI23" s="87">
        <v>2.7519999999999998</v>
      </c>
      <c r="AJ23" s="76">
        <v>1.5269999999999999</v>
      </c>
      <c r="AK23" s="76">
        <v>2.0590000000000002</v>
      </c>
      <c r="AL23" s="66">
        <v>1.476</v>
      </c>
      <c r="AM23" s="78" t="s">
        <v>70</v>
      </c>
      <c r="AN23" s="51">
        <v>1.1870000000000001</v>
      </c>
      <c r="AO23" s="18">
        <v>0.57399999999999995</v>
      </c>
      <c r="AP23" s="18">
        <v>1.2250000000000001</v>
      </c>
      <c r="AQ23" s="18">
        <v>2.661</v>
      </c>
      <c r="AR23" s="18">
        <v>2.9239999999999999</v>
      </c>
      <c r="AS23" s="18">
        <v>1.952</v>
      </c>
      <c r="AT23" s="25">
        <v>0.98499999999999999</v>
      </c>
      <c r="AU23" s="18">
        <v>1.258</v>
      </c>
      <c r="AV23" s="19">
        <v>0.26600000000000001</v>
      </c>
      <c r="AW23" s="20">
        <v>2.1999999999999999E-2</v>
      </c>
      <c r="AX23" s="62">
        <v>0</v>
      </c>
    </row>
    <row r="24" spans="1:50" ht="19.5" thickBot="1" x14ac:dyDescent="0.35">
      <c r="A24" s="169" t="s">
        <v>20</v>
      </c>
      <c r="B24" s="170"/>
      <c r="C24" s="170"/>
      <c r="D24" s="175"/>
      <c r="E24" s="31"/>
      <c r="F24" s="31"/>
      <c r="G24" s="137">
        <f t="shared" si="0"/>
        <v>0.24440000000000001</v>
      </c>
      <c r="H24" s="84">
        <v>0.05</v>
      </c>
      <c r="I24" s="82">
        <v>0.22900000000000001</v>
      </c>
      <c r="J24" s="84">
        <v>0.1</v>
      </c>
      <c r="K24" s="84">
        <v>0.12</v>
      </c>
      <c r="L24" s="84">
        <v>0.105</v>
      </c>
      <c r="M24" s="82">
        <v>0.20799999999999999</v>
      </c>
      <c r="N24" s="76">
        <v>0.46600000000000003</v>
      </c>
      <c r="O24" s="82">
        <v>0.34200000000000003</v>
      </c>
      <c r="P24" s="124">
        <v>0.46500000000000002</v>
      </c>
      <c r="Q24" s="126">
        <v>0.35899999999999999</v>
      </c>
      <c r="R24" s="120">
        <f t="shared" si="1"/>
        <v>1.563375</v>
      </c>
      <c r="S24" s="96">
        <v>0.94099999999999995</v>
      </c>
      <c r="T24" s="96">
        <v>0.64600000000000002</v>
      </c>
      <c r="U24" s="96">
        <v>1.304</v>
      </c>
      <c r="V24" s="96">
        <v>1.5169999999999999</v>
      </c>
      <c r="W24" s="96">
        <v>4.3490000000000002</v>
      </c>
      <c r="X24" s="96">
        <v>2.177</v>
      </c>
      <c r="Y24" s="96">
        <v>1.1950000000000001</v>
      </c>
      <c r="Z24" s="96">
        <v>0.378</v>
      </c>
      <c r="AA24" s="115">
        <f t="shared" si="2"/>
        <v>1.1676363636363636</v>
      </c>
      <c r="AB24" s="96">
        <v>0.59899999999999998</v>
      </c>
      <c r="AC24" s="101">
        <v>0.71499999999999997</v>
      </c>
      <c r="AD24" s="97">
        <v>1.4970000000000001</v>
      </c>
      <c r="AE24" s="97">
        <v>2.2799999999999998</v>
      </c>
      <c r="AF24" s="97">
        <v>0.91800000000000004</v>
      </c>
      <c r="AG24" s="97">
        <v>1.6060000000000001</v>
      </c>
      <c r="AH24" s="90">
        <v>1.6419999999999999</v>
      </c>
      <c r="AI24" s="87">
        <v>0.79700000000000004</v>
      </c>
      <c r="AJ24" s="76">
        <v>0.80600000000000005</v>
      </c>
      <c r="AK24" s="76">
        <v>0.82599999999999996</v>
      </c>
      <c r="AL24" s="66">
        <v>1.1579999999999999</v>
      </c>
      <c r="AM24" s="78" t="s">
        <v>80</v>
      </c>
      <c r="AN24" s="51">
        <v>0.70499999999999996</v>
      </c>
      <c r="AO24" s="18">
        <v>1.1339999999999999</v>
      </c>
      <c r="AP24" s="18">
        <v>1.732</v>
      </c>
      <c r="AQ24" s="18">
        <v>1.645</v>
      </c>
      <c r="AR24" s="18">
        <v>1.732</v>
      </c>
      <c r="AS24" s="18">
        <v>0.48799999999999999</v>
      </c>
      <c r="AT24" s="26">
        <v>9.1999999999999998E-2</v>
      </c>
      <c r="AU24" s="20">
        <v>0.161</v>
      </c>
      <c r="AV24" s="20">
        <v>4.8000000000000001E-2</v>
      </c>
      <c r="AW24" s="20">
        <v>1.6E-2</v>
      </c>
      <c r="AX24" s="62">
        <v>0</v>
      </c>
    </row>
    <row r="25" spans="1:50" ht="19.5" thickBot="1" x14ac:dyDescent="0.35">
      <c r="A25" s="156" t="s">
        <v>21</v>
      </c>
      <c r="B25" s="157"/>
      <c r="C25" s="157"/>
      <c r="D25" s="164"/>
      <c r="E25" s="32"/>
      <c r="F25" s="32"/>
      <c r="G25" s="137">
        <f t="shared" si="0"/>
        <v>0.29189999999999994</v>
      </c>
      <c r="H25" s="129">
        <v>0.153</v>
      </c>
      <c r="I25" s="110">
        <v>0.90200000000000002</v>
      </c>
      <c r="J25" s="129">
        <v>0.109</v>
      </c>
      <c r="K25" s="132">
        <v>0.31900000000000001</v>
      </c>
      <c r="L25" s="129">
        <v>4.3999999999999997E-2</v>
      </c>
      <c r="M25" s="129">
        <v>3.5000000000000003E-2</v>
      </c>
      <c r="N25" s="129">
        <v>1.0999999999999999E-2</v>
      </c>
      <c r="O25" s="110">
        <v>0.39500000000000002</v>
      </c>
      <c r="P25" s="84">
        <v>0.17499999999999999</v>
      </c>
      <c r="Q25" s="124">
        <v>0.77600000000000002</v>
      </c>
      <c r="R25" s="120">
        <f t="shared" si="1"/>
        <v>0.88724999999999987</v>
      </c>
      <c r="S25" s="96">
        <v>0.77</v>
      </c>
      <c r="T25" s="96">
        <v>0.64</v>
      </c>
      <c r="U25" s="96">
        <v>1.105</v>
      </c>
      <c r="V25" s="96">
        <v>0.47299999999999998</v>
      </c>
      <c r="W25" s="96">
        <v>1.661</v>
      </c>
      <c r="X25" s="96">
        <v>0.57099999999999995</v>
      </c>
      <c r="Y25" s="96">
        <v>1.5089999999999999</v>
      </c>
      <c r="Z25" s="116">
        <v>0.36899999999999999</v>
      </c>
      <c r="AA25" s="115">
        <f t="shared" si="2"/>
        <v>1.448181818181818</v>
      </c>
      <c r="AB25" s="96">
        <v>1.4159999999999999</v>
      </c>
      <c r="AC25" s="101">
        <v>2.907</v>
      </c>
      <c r="AD25" s="97">
        <v>1.821</v>
      </c>
      <c r="AE25" s="97">
        <v>1.0640000000000001</v>
      </c>
      <c r="AF25" s="97">
        <v>1.6870000000000001</v>
      </c>
      <c r="AG25" s="97">
        <v>1.2030000000000001</v>
      </c>
      <c r="AH25" s="90">
        <v>0.96899999999999997</v>
      </c>
      <c r="AI25" s="87">
        <v>2.2679999999999998</v>
      </c>
      <c r="AJ25" s="76">
        <v>1.0489999999999999</v>
      </c>
      <c r="AK25" s="76">
        <v>1.0569999999999999</v>
      </c>
      <c r="AL25" s="66">
        <v>0.48899999999999999</v>
      </c>
      <c r="AM25" s="78" t="s">
        <v>78</v>
      </c>
      <c r="AN25" s="51">
        <v>0.77700000000000002</v>
      </c>
      <c r="AO25" s="18">
        <v>1.466</v>
      </c>
      <c r="AP25" s="18">
        <v>0.80900000000000005</v>
      </c>
      <c r="AQ25" s="18">
        <v>1.57</v>
      </c>
      <c r="AR25" s="18">
        <v>1.6379999999999999</v>
      </c>
      <c r="AS25" s="18">
        <v>0.98599999999999999</v>
      </c>
      <c r="AT25" s="26">
        <v>0.11899999999999999</v>
      </c>
      <c r="AU25" s="18">
        <v>0.72299999999999998</v>
      </c>
      <c r="AV25" s="19">
        <v>0.34799999999999998</v>
      </c>
      <c r="AW25" s="20">
        <v>0.109</v>
      </c>
      <c r="AX25" s="62">
        <v>5.0000000000000001E-3</v>
      </c>
    </row>
    <row r="26" spans="1:50" ht="19.5" thickBot="1" x14ac:dyDescent="0.35">
      <c r="A26" s="169" t="s">
        <v>22</v>
      </c>
      <c r="B26" s="170"/>
      <c r="C26" s="170"/>
      <c r="D26" s="171"/>
      <c r="E26" s="30"/>
      <c r="F26" s="30"/>
      <c r="G26" s="136">
        <f t="shared" si="0"/>
        <v>0.19139999999999996</v>
      </c>
      <c r="H26" s="128">
        <v>2.3E-2</v>
      </c>
      <c r="I26" s="128">
        <v>0.185</v>
      </c>
      <c r="J26" s="128">
        <v>0.108</v>
      </c>
      <c r="K26" s="128">
        <v>0.11799999999999999</v>
      </c>
      <c r="L26" s="128">
        <v>5.2999999999999999E-2</v>
      </c>
      <c r="M26" s="126">
        <v>0.28299999999999997</v>
      </c>
      <c r="N26" s="126">
        <v>0.313</v>
      </c>
      <c r="O26" s="128">
        <v>0.13200000000000001</v>
      </c>
      <c r="P26" s="126">
        <v>0.32300000000000001</v>
      </c>
      <c r="Q26" s="123">
        <v>0.376</v>
      </c>
      <c r="R26" s="120">
        <f t="shared" si="1"/>
        <v>0.98275000000000001</v>
      </c>
      <c r="S26" s="96">
        <v>0.76200000000000001</v>
      </c>
      <c r="T26" s="96">
        <v>0.71599999999999997</v>
      </c>
      <c r="U26" s="96">
        <v>1.1639999999999999</v>
      </c>
      <c r="V26" s="96">
        <v>1.006</v>
      </c>
      <c r="W26" s="96">
        <v>1.403</v>
      </c>
      <c r="X26" s="96">
        <v>1.407</v>
      </c>
      <c r="Y26" s="96">
        <v>0.92400000000000004</v>
      </c>
      <c r="Z26" s="96">
        <v>0.48</v>
      </c>
      <c r="AA26" s="115">
        <f t="shared" si="2"/>
        <v>1.2988181818181819</v>
      </c>
      <c r="AB26" s="96">
        <v>1.397</v>
      </c>
      <c r="AC26" s="101">
        <v>0.53200000000000003</v>
      </c>
      <c r="AD26" s="97">
        <v>2.6040000000000001</v>
      </c>
      <c r="AE26" s="97">
        <v>1.042</v>
      </c>
      <c r="AF26" s="97">
        <v>1.333</v>
      </c>
      <c r="AG26" s="97">
        <v>1.425</v>
      </c>
      <c r="AH26" s="90">
        <v>1.6619999999999999</v>
      </c>
      <c r="AI26" s="87">
        <v>0.85299999999999998</v>
      </c>
      <c r="AJ26" s="84">
        <v>0.159</v>
      </c>
      <c r="AK26" s="76">
        <v>2.0230000000000001</v>
      </c>
      <c r="AL26" s="66">
        <v>1.2569999999999999</v>
      </c>
      <c r="AM26" s="78" t="s">
        <v>83</v>
      </c>
      <c r="AN26" s="51">
        <v>0.65400000000000003</v>
      </c>
      <c r="AO26" s="18">
        <v>1.597</v>
      </c>
      <c r="AP26" s="19">
        <v>0.314</v>
      </c>
      <c r="AQ26" s="18">
        <v>1.992</v>
      </c>
      <c r="AR26" s="18">
        <v>1.034</v>
      </c>
      <c r="AS26" s="18">
        <v>0.54100000000000004</v>
      </c>
      <c r="AT26" s="26">
        <v>0.193</v>
      </c>
      <c r="AU26" s="18">
        <v>0.46300000000000002</v>
      </c>
      <c r="AV26" s="19">
        <v>0.36399999999999999</v>
      </c>
      <c r="AW26" s="20">
        <v>1.2999999999999999E-2</v>
      </c>
      <c r="AX26" s="62">
        <v>0.03</v>
      </c>
    </row>
    <row r="27" spans="1:50" ht="19.5" thickBot="1" x14ac:dyDescent="0.35">
      <c r="A27" s="161" t="s">
        <v>23</v>
      </c>
      <c r="B27" s="162"/>
      <c r="C27" s="162"/>
      <c r="D27" s="165"/>
      <c r="E27" s="30"/>
      <c r="F27" s="30"/>
      <c r="G27" s="137">
        <f t="shared" si="0"/>
        <v>0.28949999999999998</v>
      </c>
      <c r="H27" s="126">
        <v>0.223</v>
      </c>
      <c r="I27" s="123">
        <v>0.40200000000000002</v>
      </c>
      <c r="J27" s="128">
        <v>8.5999999999999993E-2</v>
      </c>
      <c r="K27" s="123">
        <v>0.43099999999999999</v>
      </c>
      <c r="L27" s="128">
        <v>5.5E-2</v>
      </c>
      <c r="M27" s="128">
        <v>9.7000000000000003E-2</v>
      </c>
      <c r="N27" s="126">
        <v>0.33300000000000002</v>
      </c>
      <c r="O27" s="123">
        <v>0.38300000000000001</v>
      </c>
      <c r="P27" s="126">
        <v>0.33300000000000002</v>
      </c>
      <c r="Q27" s="123">
        <v>0.55200000000000005</v>
      </c>
      <c r="R27" s="120">
        <f t="shared" si="1"/>
        <v>1.9238749999999998</v>
      </c>
      <c r="S27" s="96">
        <v>1.853</v>
      </c>
      <c r="T27" s="96">
        <v>2.173</v>
      </c>
      <c r="U27" s="96">
        <v>2.02</v>
      </c>
      <c r="V27" s="96">
        <v>1.986</v>
      </c>
      <c r="W27" s="96">
        <v>3.1040000000000001</v>
      </c>
      <c r="X27" s="96">
        <v>1.7769999999999999</v>
      </c>
      <c r="Y27" s="96">
        <v>1.1870000000000001</v>
      </c>
      <c r="Z27" s="96">
        <v>1.2909999999999999</v>
      </c>
      <c r="AA27" s="115">
        <f t="shared" si="2"/>
        <v>1.6240000000000001</v>
      </c>
      <c r="AB27" s="96">
        <v>1.081</v>
      </c>
      <c r="AC27" s="101">
        <v>0.92500000000000004</v>
      </c>
      <c r="AD27" s="97">
        <v>1.544</v>
      </c>
      <c r="AE27" s="97">
        <v>1.544</v>
      </c>
      <c r="AF27" s="97">
        <v>2</v>
      </c>
      <c r="AG27" s="97">
        <v>1.115</v>
      </c>
      <c r="AH27" s="90">
        <v>2.3460000000000001</v>
      </c>
      <c r="AI27" s="87">
        <v>2.0699999999999998</v>
      </c>
      <c r="AJ27" s="76">
        <v>1.075</v>
      </c>
      <c r="AK27" s="76">
        <v>0.73899999999999999</v>
      </c>
      <c r="AL27" s="66">
        <v>3.4249999999999998</v>
      </c>
      <c r="AM27" s="78" t="s">
        <v>84</v>
      </c>
      <c r="AN27" s="51">
        <v>0.625</v>
      </c>
      <c r="AO27" s="18">
        <v>1.1970000000000001</v>
      </c>
      <c r="AP27" s="18">
        <v>1.2769999999999999</v>
      </c>
      <c r="AQ27" s="18">
        <v>0.93200000000000005</v>
      </c>
      <c r="AR27" s="18">
        <v>0.94399999999999995</v>
      </c>
      <c r="AS27" s="18">
        <v>0.51200000000000001</v>
      </c>
      <c r="AT27" s="26">
        <v>0.16600000000000001</v>
      </c>
      <c r="AU27" s="18">
        <v>0.54900000000000004</v>
      </c>
      <c r="AV27" s="19">
        <v>0.29599999999999999</v>
      </c>
      <c r="AW27" s="19">
        <v>0.38200000000000001</v>
      </c>
      <c r="AX27" s="62">
        <v>0</v>
      </c>
    </row>
    <row r="28" spans="1:50" ht="19.5" thickBot="1" x14ac:dyDescent="0.35">
      <c r="A28" s="98" t="s">
        <v>24</v>
      </c>
      <c r="B28" s="72"/>
      <c r="C28" s="72"/>
      <c r="D28" s="72"/>
      <c r="E28" s="30"/>
      <c r="F28" s="30"/>
      <c r="G28" s="137">
        <f t="shared" si="0"/>
        <v>0.34460000000000002</v>
      </c>
      <c r="H28" s="128">
        <v>5.8999999999999997E-2</v>
      </c>
      <c r="I28" s="126">
        <v>0.22</v>
      </c>
      <c r="J28" s="126">
        <v>0.20300000000000001</v>
      </c>
      <c r="K28" s="126">
        <v>0.35599999999999998</v>
      </c>
      <c r="L28" s="128">
        <v>0.115</v>
      </c>
      <c r="M28" s="123">
        <v>0.436</v>
      </c>
      <c r="N28" s="123">
        <v>0.47899999999999998</v>
      </c>
      <c r="O28" s="126">
        <v>0.30499999999999999</v>
      </c>
      <c r="P28" s="123">
        <v>0.60699999999999998</v>
      </c>
      <c r="Q28" s="123">
        <v>0.66600000000000004</v>
      </c>
      <c r="R28" s="120">
        <f t="shared" si="1"/>
        <v>1.5318749999999999</v>
      </c>
      <c r="S28" s="96">
        <v>1.7549999999999999</v>
      </c>
      <c r="T28" s="96">
        <v>1.375</v>
      </c>
      <c r="U28" s="96">
        <v>1.069</v>
      </c>
      <c r="V28" s="96">
        <v>1.27</v>
      </c>
      <c r="W28" s="96">
        <v>2.222</v>
      </c>
      <c r="X28" s="96">
        <v>1.8540000000000001</v>
      </c>
      <c r="Y28" s="96">
        <v>1.65</v>
      </c>
      <c r="Z28" s="96">
        <v>1.06</v>
      </c>
      <c r="AA28" s="115">
        <f t="shared" si="2"/>
        <v>1.7463636363636363</v>
      </c>
      <c r="AB28" s="96">
        <v>1.6779999999999999</v>
      </c>
      <c r="AC28" s="101">
        <v>1.0449999999999999</v>
      </c>
      <c r="AD28" s="97">
        <v>1.7410000000000001</v>
      </c>
      <c r="AE28" s="97">
        <v>2.903</v>
      </c>
      <c r="AF28" s="97">
        <v>2.4009999999999998</v>
      </c>
      <c r="AG28" s="97">
        <v>2.4039999999999999</v>
      </c>
      <c r="AH28" s="90">
        <v>2.5470000000000002</v>
      </c>
      <c r="AI28" s="87">
        <v>1.5529999999999999</v>
      </c>
      <c r="AJ28" s="76">
        <v>1.052</v>
      </c>
      <c r="AK28" s="76">
        <v>1.234</v>
      </c>
      <c r="AL28" s="66">
        <v>0.65200000000000002</v>
      </c>
      <c r="AM28" s="78" t="s">
        <v>76</v>
      </c>
      <c r="AN28" s="51">
        <v>0.85</v>
      </c>
      <c r="AO28" s="18">
        <v>1.3180000000000001</v>
      </c>
      <c r="AP28" s="18">
        <v>0.63700000000000001</v>
      </c>
      <c r="AQ28" s="18">
        <v>1.123</v>
      </c>
      <c r="AR28" s="18">
        <v>1.744</v>
      </c>
      <c r="AS28" s="18">
        <v>1.585</v>
      </c>
      <c r="AT28" s="25">
        <v>0.85899999999999999</v>
      </c>
      <c r="AU28" s="18">
        <v>0.69599999999999995</v>
      </c>
      <c r="AV28" s="18">
        <v>0.45400000000000001</v>
      </c>
      <c r="AW28" s="20">
        <v>6.7000000000000004E-2</v>
      </c>
      <c r="AX28" s="62">
        <v>1.2999999999999999E-2</v>
      </c>
    </row>
    <row r="29" spans="1:50" ht="19.5" thickBot="1" x14ac:dyDescent="0.35">
      <c r="A29" s="161" t="s">
        <v>25</v>
      </c>
      <c r="B29" s="162"/>
      <c r="C29" s="162"/>
      <c r="D29" s="165"/>
      <c r="E29" s="30"/>
      <c r="F29" s="30"/>
      <c r="G29" s="135">
        <f t="shared" si="0"/>
        <v>0.75290000000000001</v>
      </c>
      <c r="H29" s="123">
        <v>0.54300000000000004</v>
      </c>
      <c r="I29" s="123">
        <v>1.163</v>
      </c>
      <c r="J29" s="123">
        <v>0.63400000000000001</v>
      </c>
      <c r="K29" s="123">
        <v>0.82199999999999995</v>
      </c>
      <c r="L29" s="128">
        <v>8.9999999999999993E-3</v>
      </c>
      <c r="M29" s="123">
        <v>0.62</v>
      </c>
      <c r="N29" s="123">
        <v>0.84599999999999997</v>
      </c>
      <c r="O29" s="123">
        <v>0.92700000000000005</v>
      </c>
      <c r="P29" s="123">
        <v>1.304</v>
      </c>
      <c r="Q29" s="123">
        <v>0.66100000000000003</v>
      </c>
      <c r="R29" s="120">
        <f t="shared" si="1"/>
        <v>1.5987500000000001</v>
      </c>
      <c r="S29" s="96">
        <v>3.4289999999999998</v>
      </c>
      <c r="T29" s="96">
        <v>0.68700000000000006</v>
      </c>
      <c r="U29" s="96">
        <v>1.2210000000000001</v>
      </c>
      <c r="V29" s="96">
        <v>1.698</v>
      </c>
      <c r="W29" s="96">
        <v>1.6419999999999999</v>
      </c>
      <c r="X29" s="96">
        <v>1.6140000000000001</v>
      </c>
      <c r="Y29" s="96">
        <v>1.242</v>
      </c>
      <c r="Z29" s="96">
        <v>1.2569999999999999</v>
      </c>
      <c r="AA29" s="115">
        <f t="shared" si="2"/>
        <v>1.9820909090909091</v>
      </c>
      <c r="AB29" s="96">
        <v>1.734</v>
      </c>
      <c r="AC29" s="101">
        <v>1.2270000000000001</v>
      </c>
      <c r="AD29" s="97">
        <v>3.4590000000000001</v>
      </c>
      <c r="AE29" s="97">
        <v>1.843</v>
      </c>
      <c r="AF29" s="97">
        <v>2.7290000000000001</v>
      </c>
      <c r="AG29" s="97">
        <v>2.3980000000000001</v>
      </c>
      <c r="AH29" s="90">
        <v>1.3979999999999999</v>
      </c>
      <c r="AI29" s="87">
        <v>1.427</v>
      </c>
      <c r="AJ29" s="76">
        <v>1.446</v>
      </c>
      <c r="AK29" s="76">
        <v>2.7050000000000001</v>
      </c>
      <c r="AL29" s="66">
        <v>1.4370000000000001</v>
      </c>
      <c r="AM29" s="78" t="s">
        <v>74</v>
      </c>
      <c r="AN29" s="51">
        <v>0.93899999999999995</v>
      </c>
      <c r="AO29" s="18">
        <v>0.83799999999999997</v>
      </c>
      <c r="AP29" s="18">
        <v>1.018</v>
      </c>
      <c r="AQ29" s="18">
        <v>0.84299999999999997</v>
      </c>
      <c r="AR29" s="18">
        <v>1.2250000000000001</v>
      </c>
      <c r="AS29" s="18">
        <v>1.4930000000000001</v>
      </c>
      <c r="AT29" s="25">
        <v>0.53400000000000003</v>
      </c>
      <c r="AU29" s="18">
        <v>1.119</v>
      </c>
      <c r="AV29" s="18">
        <v>1.276</v>
      </c>
      <c r="AW29" s="18">
        <v>1.0409999999999999</v>
      </c>
      <c r="AX29" s="62">
        <v>0</v>
      </c>
    </row>
    <row r="30" spans="1:50" ht="19.5" thickBot="1" x14ac:dyDescent="0.35">
      <c r="A30" s="73" t="s">
        <v>26</v>
      </c>
      <c r="B30" s="74"/>
      <c r="C30" s="74"/>
      <c r="D30" s="74"/>
      <c r="E30" s="33"/>
      <c r="F30" s="33"/>
      <c r="G30" s="136">
        <f t="shared" si="0"/>
        <v>7.6899999999999996E-2</v>
      </c>
      <c r="H30" s="125">
        <v>7.6999999999999999E-2</v>
      </c>
      <c r="I30" s="125">
        <v>2.1999999999999999E-2</v>
      </c>
      <c r="J30" s="125">
        <v>7.0999999999999994E-2</v>
      </c>
      <c r="K30" s="125">
        <v>6.9000000000000006E-2</v>
      </c>
      <c r="L30" s="125">
        <v>0</v>
      </c>
      <c r="M30" s="125">
        <v>7.0000000000000007E-2</v>
      </c>
      <c r="N30" s="125">
        <v>0.14499999999999999</v>
      </c>
      <c r="O30" s="125">
        <v>0.151</v>
      </c>
      <c r="P30" s="125">
        <v>4.1000000000000002E-2</v>
      </c>
      <c r="Q30" s="125">
        <v>0.123</v>
      </c>
      <c r="R30" s="121">
        <f t="shared" si="1"/>
        <v>0.78099999999999992</v>
      </c>
      <c r="S30" s="112">
        <v>0.66900000000000004</v>
      </c>
      <c r="T30" s="118">
        <v>0.31</v>
      </c>
      <c r="U30" s="112">
        <v>0.69799999999999995</v>
      </c>
      <c r="V30" s="112">
        <v>1.046</v>
      </c>
      <c r="W30" s="112">
        <v>1.81</v>
      </c>
      <c r="X30" s="112">
        <v>0.53400000000000003</v>
      </c>
      <c r="Y30" s="112">
        <v>0.69899999999999995</v>
      </c>
      <c r="Z30" s="112">
        <v>0.48199999999999998</v>
      </c>
      <c r="AA30" s="115">
        <f t="shared" si="2"/>
        <v>0.62990909090909097</v>
      </c>
      <c r="AB30" s="112">
        <v>1.33</v>
      </c>
      <c r="AC30" s="103">
        <v>0.313</v>
      </c>
      <c r="AD30" s="53">
        <v>1.089</v>
      </c>
      <c r="AE30" s="53">
        <v>0.67400000000000004</v>
      </c>
      <c r="AF30" s="53">
        <v>0.74099999999999999</v>
      </c>
      <c r="AG30" s="53">
        <v>0.52700000000000002</v>
      </c>
      <c r="AH30" s="93">
        <v>0.34699999999999998</v>
      </c>
      <c r="AI30" s="85">
        <v>0.23400000000000001</v>
      </c>
      <c r="AJ30" s="83">
        <v>0.20499999999999999</v>
      </c>
      <c r="AK30" s="77">
        <v>0.747</v>
      </c>
      <c r="AL30" s="69">
        <v>0.72199999999999998</v>
      </c>
      <c r="AM30" s="81" t="s">
        <v>85</v>
      </c>
      <c r="AN30" s="52">
        <v>0.50900000000000001</v>
      </c>
      <c r="AO30" s="53">
        <v>0.72599999999999998</v>
      </c>
      <c r="AP30" s="53">
        <v>0.6</v>
      </c>
      <c r="AQ30" s="53">
        <v>0.95499999999999996</v>
      </c>
      <c r="AR30" s="53">
        <v>1.1319999999999999</v>
      </c>
      <c r="AS30" s="53">
        <v>0.45100000000000001</v>
      </c>
      <c r="AT30" s="54">
        <v>0.14099999999999999</v>
      </c>
      <c r="AU30" s="53">
        <v>0.47699999999999998</v>
      </c>
      <c r="AV30" s="55">
        <v>0.36799999999999999</v>
      </c>
      <c r="AW30" s="55">
        <v>0.23799999999999999</v>
      </c>
      <c r="AX30" s="56">
        <v>0</v>
      </c>
    </row>
    <row r="31" spans="1:50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50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</sheetData>
  <mergeCells count="29">
    <mergeCell ref="AM1:AW1"/>
    <mergeCell ref="AM2:AW2"/>
    <mergeCell ref="A29:D29"/>
    <mergeCell ref="A11:D11"/>
    <mergeCell ref="A24:D24"/>
    <mergeCell ref="A25:D25"/>
    <mergeCell ref="A26:D26"/>
    <mergeCell ref="A27:D27"/>
    <mergeCell ref="A21:D21"/>
    <mergeCell ref="A23:D23"/>
    <mergeCell ref="A13:D13"/>
    <mergeCell ref="A14:D14"/>
    <mergeCell ref="A15:D15"/>
    <mergeCell ref="A16:D16"/>
    <mergeCell ref="A18:D18"/>
    <mergeCell ref="A20:D20"/>
    <mergeCell ref="A5:D5"/>
    <mergeCell ref="A8:D8"/>
    <mergeCell ref="A9:D9"/>
    <mergeCell ref="A12:D12"/>
    <mergeCell ref="A6:D6"/>
    <mergeCell ref="A10:D10"/>
    <mergeCell ref="A7:D7"/>
    <mergeCell ref="AC1:AL1"/>
    <mergeCell ref="A4:D4"/>
    <mergeCell ref="J1:P2"/>
    <mergeCell ref="S1:Z2"/>
    <mergeCell ref="A1:D3"/>
    <mergeCell ref="AA1:A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Davi Antonino Nunes Da Silva</cp:lastModifiedBy>
  <dcterms:created xsi:type="dcterms:W3CDTF">2024-05-27T21:49:39Z</dcterms:created>
  <dcterms:modified xsi:type="dcterms:W3CDTF">2025-12-18T19:57:25Z</dcterms:modified>
</cp:coreProperties>
</file>
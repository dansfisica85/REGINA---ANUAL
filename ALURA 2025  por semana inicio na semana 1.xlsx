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esp-my.sharepoint.com/personal/davi_silva_educacao_sp_gov_br/Documents/Todos os arquivos/Área de Trabalho/"/>
    </mc:Choice>
  </mc:AlternateContent>
  <xr:revisionPtr revIDLastSave="0" documentId="8_{CDF07F18-3322-492E-AFE9-8C4BB670785D}" xr6:coauthVersionLast="47" xr6:coauthVersionMax="47" xr10:uidLastSave="{00000000-0000-0000-0000-000000000000}"/>
  <bookViews>
    <workbookView xWindow="-28920" yWindow="-120" windowWidth="29040" windowHeight="15720" xr2:uid="{A913360B-ABA4-474C-A115-2935233947B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9" i="1"/>
  <c r="C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9" i="1"/>
  <c r="N4" i="1"/>
</calcChain>
</file>

<file path=xl/sharedStrings.xml><?xml version="1.0" encoding="utf-8"?>
<sst xmlns="http://schemas.openxmlformats.org/spreadsheetml/2006/main" count="221" uniqueCount="124">
  <si>
    <t>1 - NOME DA ESCOLA</t>
  </si>
  <si>
    <t>EE Luiz Marcari</t>
  </si>
  <si>
    <t>PEI EE José Luiz de Siqueira</t>
  </si>
  <si>
    <t>EE Profº Nestor G de Araújo</t>
  </si>
  <si>
    <t>EE DR Mário Lins</t>
  </si>
  <si>
    <t>EE Profº Plínio Berardo</t>
  </si>
  <si>
    <t>PEI EE Domingos Paro</t>
  </si>
  <si>
    <t>PEI EE Maria Falconi de Felício</t>
  </si>
  <si>
    <t>EE Mauricio Montecchi</t>
  </si>
  <si>
    <t>EE Orminda Guimarães Cotrim</t>
  </si>
  <si>
    <t>EE Profª Josepha Castro</t>
  </si>
  <si>
    <t>EE Dona Adélia Frascino</t>
  </si>
  <si>
    <t>PEI EE Profª Dolores B Novaes</t>
  </si>
  <si>
    <t>EE Profº Basílio R da Silva</t>
  </si>
  <si>
    <t>EE Profª Dolores M de Castro</t>
  </si>
  <si>
    <t>EE Profª Yolanda Luiz Sicchieri</t>
  </si>
  <si>
    <t>EE Profª Edith Silveira Dalmaso</t>
  </si>
  <si>
    <t>PEI EE DR Antonio Furlan Júnior</t>
  </si>
  <si>
    <t>EE Profª Nícia Fabiola Z. Giraldi</t>
  </si>
  <si>
    <t>EE DR Isaías José Ferreira</t>
  </si>
  <si>
    <t>EE Ferrucio Chiaratti</t>
  </si>
  <si>
    <t>EE Winston Churchill</t>
  </si>
  <si>
    <t>EE Anna Passamonti Balardin</t>
  </si>
  <si>
    <t>EE Profª Maria C R S Magon</t>
  </si>
  <si>
    <t>EE Profº Bruno Pieroni</t>
  </si>
  <si>
    <t>EE Profª Maria Elyde M dos Santos</t>
  </si>
  <si>
    <t>EE Odulfo de Oliveira Guimarães</t>
  </si>
  <si>
    <t>S 4</t>
  </si>
  <si>
    <t>S 6</t>
  </si>
  <si>
    <t>S 7</t>
  </si>
  <si>
    <t>S 8</t>
  </si>
  <si>
    <t>S 9</t>
  </si>
  <si>
    <t>S 10</t>
  </si>
  <si>
    <t>S 16</t>
  </si>
  <si>
    <t>S 17</t>
  </si>
  <si>
    <t>S 18</t>
  </si>
  <si>
    <t>S 19</t>
  </si>
  <si>
    <t>S 20</t>
  </si>
  <si>
    <t>2º BIM</t>
  </si>
  <si>
    <t>1º BIM</t>
  </si>
  <si>
    <t>S 27</t>
  </si>
  <si>
    <t>S 28</t>
  </si>
  <si>
    <t>S 29</t>
  </si>
  <si>
    <t>3°BIM</t>
  </si>
  <si>
    <t>3º BIM</t>
  </si>
  <si>
    <t>4°BIM</t>
  </si>
  <si>
    <t>S 1</t>
  </si>
  <si>
    <t>S 2</t>
  </si>
  <si>
    <t>S 3</t>
  </si>
  <si>
    <t xml:space="preserve">S 5 </t>
  </si>
  <si>
    <t>MÉDIA</t>
  </si>
  <si>
    <t>Alunos</t>
  </si>
  <si>
    <t>PEI</t>
  </si>
  <si>
    <t>X</t>
  </si>
  <si>
    <t>Reg</t>
  </si>
  <si>
    <t>x</t>
  </si>
  <si>
    <t>Not</t>
  </si>
  <si>
    <t>Quantidade</t>
  </si>
  <si>
    <t>Turno</t>
  </si>
  <si>
    <t>1 T</t>
  </si>
  <si>
    <t>2 T</t>
  </si>
  <si>
    <t>3 T</t>
  </si>
  <si>
    <t>LEGENDA</t>
  </si>
  <si>
    <t>INSATISFATÓRIO</t>
  </si>
  <si>
    <t>0,0 À 5,0</t>
  </si>
  <si>
    <t>5,1 À 7,0</t>
  </si>
  <si>
    <t>REGULAR</t>
  </si>
  <si>
    <t>7,1 À 9,0</t>
  </si>
  <si>
    <t>SATISFATÓRIO</t>
  </si>
  <si>
    <t>9,1 À 10</t>
  </si>
  <si>
    <t>EXCELENTE</t>
  </si>
  <si>
    <t>DE 1 À 499 ALUNOS</t>
  </si>
  <si>
    <t>DE 500 À 999 ALUNOS</t>
  </si>
  <si>
    <t>DE 1000 PARA CIMA</t>
  </si>
  <si>
    <t>Classificação</t>
  </si>
  <si>
    <t>ALURA  DA SEMANA 01 ATÉ 10 - 1º BIMESTRE</t>
  </si>
  <si>
    <t>S11</t>
  </si>
  <si>
    <t>S12</t>
  </si>
  <si>
    <t>S13</t>
  </si>
  <si>
    <t>S14</t>
  </si>
  <si>
    <t>S 21</t>
  </si>
  <si>
    <t>ALURA  DA SEMANA 11 ATÉ 21 - 1º BIMESTRE</t>
  </si>
  <si>
    <t>1º</t>
  </si>
  <si>
    <t>2º</t>
  </si>
  <si>
    <t>6º</t>
  </si>
  <si>
    <t>4º</t>
  </si>
  <si>
    <t>12º</t>
  </si>
  <si>
    <t>3º</t>
  </si>
  <si>
    <t>5º</t>
  </si>
  <si>
    <t>7º</t>
  </si>
  <si>
    <t>8º</t>
  </si>
  <si>
    <t>9º</t>
  </si>
  <si>
    <t>10º</t>
  </si>
  <si>
    <t>11º</t>
  </si>
  <si>
    <t>22º</t>
  </si>
  <si>
    <t>13º</t>
  </si>
  <si>
    <t>23º</t>
  </si>
  <si>
    <t>14º</t>
  </si>
  <si>
    <t>15º</t>
  </si>
  <si>
    <t>16º</t>
  </si>
  <si>
    <t>17º</t>
  </si>
  <si>
    <t>18º</t>
  </si>
  <si>
    <t>19º</t>
  </si>
  <si>
    <t>20º</t>
  </si>
  <si>
    <t>21º</t>
  </si>
  <si>
    <t>24º</t>
  </si>
  <si>
    <t>CLASSIFICAÇÃO</t>
  </si>
  <si>
    <t>S 30</t>
  </si>
  <si>
    <t>S 31</t>
  </si>
  <si>
    <t>S32</t>
  </si>
  <si>
    <t>S33</t>
  </si>
  <si>
    <t>S34</t>
  </si>
  <si>
    <t>S35</t>
  </si>
  <si>
    <t>S 36</t>
  </si>
  <si>
    <t>S 37</t>
  </si>
  <si>
    <t>S 38</t>
  </si>
  <si>
    <t>S 39</t>
  </si>
  <si>
    <t>S 40</t>
  </si>
  <si>
    <t>Plataforma SUPER BI da semana 35  até a 44</t>
  </si>
  <si>
    <t>S41</t>
  </si>
  <si>
    <t>S42</t>
  </si>
  <si>
    <t>S43</t>
  </si>
  <si>
    <t>S44</t>
  </si>
  <si>
    <t>4º BIM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</si>
</sst>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4"/>
      <color rgb="FF9933FF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C000"/>
      <name val="Calibri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1402BE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66990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99003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1" fillId="0" borderId="1" xfId="0" applyFont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/>
    </xf>
    <xf numFmtId="16" fontId="3" fillId="7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16" fontId="3" fillId="9" borderId="1" xfId="0" applyNumberFormat="1" applyFont="1" applyFill="1" applyBorder="1" applyAlignment="1">
      <alignment horizontal="center" vertical="center"/>
    </xf>
    <xf numFmtId="16" fontId="3" fillId="6" borderId="1" xfId="0" applyNumberFormat="1" applyFont="1" applyFill="1" applyBorder="1" applyAlignment="1">
      <alignment horizontal="center" vertical="center"/>
    </xf>
    <xf numFmtId="16" fontId="3" fillId="8" borderId="1" xfId="0" applyNumberFormat="1" applyFont="1" applyFill="1" applyBorder="1" applyAlignment="1">
      <alignment horizontal="center" vertical="center"/>
    </xf>
    <xf numFmtId="2" fontId="12" fillId="10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2" fontId="10" fillId="10" borderId="1" xfId="0" applyNumberFormat="1" applyFont="1" applyFill="1" applyBorder="1" applyAlignment="1">
      <alignment horizontal="center" vertical="center"/>
    </xf>
    <xf numFmtId="0" fontId="3" fillId="28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40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2" fontId="5" fillId="10" borderId="1" xfId="0" applyNumberFormat="1" applyFont="1" applyFill="1" applyBorder="1" applyAlignment="1">
      <alignment horizontal="center" vertical="center"/>
    </xf>
    <xf numFmtId="0" fontId="3" fillId="36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7" borderId="1" xfId="0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3" fillId="49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3" fillId="55" borderId="1" xfId="0" applyFont="1" applyFill="1" applyBorder="1" applyAlignment="1">
      <alignment horizontal="center" vertical="center"/>
    </xf>
    <xf numFmtId="0" fontId="3" fillId="39" borderId="1" xfId="0" applyFont="1" applyFill="1" applyBorder="1" applyAlignment="1">
      <alignment horizontal="center" vertical="center"/>
    </xf>
    <xf numFmtId="0" fontId="3" fillId="34" borderId="1" xfId="0" applyFont="1" applyFill="1" applyBorder="1" applyAlignment="1">
      <alignment horizontal="center" vertical="center"/>
    </xf>
    <xf numFmtId="0" fontId="3" fillId="45" borderId="1" xfId="0" applyFont="1" applyFill="1" applyBorder="1" applyAlignment="1">
      <alignment horizontal="center" vertical="center"/>
    </xf>
    <xf numFmtId="0" fontId="3" fillId="32" borderId="1" xfId="0" applyFont="1" applyFill="1" applyBorder="1" applyAlignment="1">
      <alignment horizontal="center" vertical="center"/>
    </xf>
    <xf numFmtId="0" fontId="3" fillId="41" borderId="1" xfId="0" applyFont="1" applyFill="1" applyBorder="1" applyAlignment="1">
      <alignment horizontal="center" vertical="center"/>
    </xf>
    <xf numFmtId="0" fontId="3" fillId="35" borderId="1" xfId="0" applyFont="1" applyFill="1" applyBorder="1" applyAlignment="1">
      <alignment horizontal="center" vertical="center"/>
    </xf>
    <xf numFmtId="0" fontId="3" fillId="52" borderId="1" xfId="0" applyFont="1" applyFill="1" applyBorder="1" applyAlignment="1">
      <alignment horizontal="center" vertical="center"/>
    </xf>
    <xf numFmtId="0" fontId="3" fillId="43" borderId="1" xfId="0" applyFont="1" applyFill="1" applyBorder="1" applyAlignment="1">
      <alignment horizontal="center" vertical="center"/>
    </xf>
    <xf numFmtId="0" fontId="3" fillId="50" borderId="1" xfId="0" applyFont="1" applyFill="1" applyBorder="1" applyAlignment="1">
      <alignment horizontal="center" vertical="center"/>
    </xf>
    <xf numFmtId="0" fontId="3" fillId="42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3" fillId="46" borderId="1" xfId="0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38" borderId="1" xfId="0" applyFont="1" applyFill="1" applyBorder="1" applyAlignment="1">
      <alignment horizontal="center" vertical="center"/>
    </xf>
    <xf numFmtId="0" fontId="3" fillId="29" borderId="1" xfId="0" applyFont="1" applyFill="1" applyBorder="1" applyAlignment="1">
      <alignment horizontal="center" vertical="center"/>
    </xf>
    <xf numFmtId="0" fontId="3" fillId="5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47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3" fillId="54" borderId="1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3" fillId="44" borderId="1" xfId="0" applyFont="1" applyFill="1" applyBorder="1" applyAlignment="1">
      <alignment horizontal="center" vertical="center"/>
    </xf>
    <xf numFmtId="0" fontId="3" fillId="48" borderId="1" xfId="0" applyFont="1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3" fillId="31" borderId="1" xfId="0" applyFont="1" applyFill="1" applyBorder="1" applyAlignment="1">
      <alignment horizontal="center" vertical="center"/>
    </xf>
    <xf numFmtId="0" fontId="3" fillId="33" borderId="1" xfId="0" applyFont="1" applyFill="1" applyBorder="1" applyAlignment="1">
      <alignment horizontal="center" vertical="center"/>
    </xf>
    <xf numFmtId="0" fontId="3" fillId="51" borderId="1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2" fontId="3" fillId="10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20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  <color rgb="FFFF0000"/>
      <color rgb="FF990033"/>
      <color rgb="FFA50021"/>
      <color rgb="FFCC0000"/>
      <color rgb="FFFF5050"/>
      <color rgb="FFFF9900"/>
      <color rgb="FFFF9933"/>
      <color rgb="FFFF9966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81AC4-45F8-4148-8944-3A0540738F4D}">
  <dimension ref="A1:BB35"/>
  <sheetViews>
    <sheetView tabSelected="1" zoomScale="85" zoomScaleNormal="85" workbookViewId="0">
      <pane xSplit="1" topLeftCell="X1" activePane="topRight" state="frozen"/>
      <selection pane="topRight" activeCell="AW33" sqref="AW33"/>
    </sheetView>
  </sheetViews>
  <sheetFormatPr defaultRowHeight="15" x14ac:dyDescent="0.25"/>
  <cols>
    <col min="1" max="1" width="38.85546875" style="1" bestFit="1" customWidth="1"/>
    <col min="2" max="8" width="10.28515625" style="1" customWidth="1"/>
    <col min="9" max="9" width="9.42578125" style="1" customWidth="1"/>
    <col min="10" max="12" width="9.28515625" style="1" bestFit="1" customWidth="1"/>
    <col min="13" max="13" width="9.42578125" style="1" customWidth="1"/>
    <col min="14" max="17" width="9.42578125" style="1" bestFit="1" customWidth="1"/>
    <col min="18" max="21" width="9.28515625" style="1" bestFit="1" customWidth="1"/>
    <col min="22" max="22" width="9.7109375" style="1" bestFit="1" customWidth="1"/>
    <col min="23" max="23" width="11" style="1" customWidth="1"/>
    <col min="24" max="25" width="9.7109375" style="1" customWidth="1"/>
    <col min="26" max="33" width="9.7109375" style="1" bestFit="1" customWidth="1"/>
    <col min="34" max="34" width="9" style="1" bestFit="1" customWidth="1"/>
    <col min="35" max="35" width="0.140625" style="1" customWidth="1"/>
    <col min="36" max="36" width="9.140625" style="1" hidden="1" customWidth="1"/>
    <col min="37" max="37" width="4.42578125" style="1" customWidth="1"/>
    <col min="38" max="38" width="16.42578125" style="1" hidden="1" customWidth="1"/>
    <col min="39" max="39" width="6.28515625" style="1" customWidth="1"/>
    <col min="40" max="40" width="6" style="1" customWidth="1"/>
    <col min="41" max="41" width="8.28515625" style="1" customWidth="1"/>
    <col min="42" max="42" width="13.85546875" style="1" customWidth="1"/>
    <col min="43" max="43" width="15.28515625" style="1" customWidth="1"/>
    <col min="44" max="46" width="8.7109375" style="1"/>
    <col min="47" max="51" width="9.7109375" style="1" bestFit="1" customWidth="1"/>
    <col min="52" max="52" width="10.5703125" style="1" customWidth="1"/>
    <col min="53" max="54" width="8.7109375" style="1"/>
    <col min="55" max="16384" width="9.140625" style="2"/>
  </cols>
  <sheetData>
    <row r="1" spans="1:54" ht="21" x14ac:dyDescent="0.25">
      <c r="A1" s="3" t="s">
        <v>0</v>
      </c>
      <c r="B1" s="4" t="s">
        <v>45</v>
      </c>
      <c r="C1" s="4"/>
      <c r="D1" s="4"/>
      <c r="E1" s="5" t="s">
        <v>118</v>
      </c>
      <c r="F1" s="5"/>
      <c r="G1" s="5"/>
      <c r="H1" s="5"/>
      <c r="I1" s="5"/>
      <c r="J1" s="5"/>
      <c r="K1" s="5"/>
      <c r="L1" s="5"/>
      <c r="M1" s="4" t="s">
        <v>45</v>
      </c>
      <c r="N1" s="6" t="s">
        <v>43</v>
      </c>
      <c r="O1" s="5"/>
      <c r="P1" s="5"/>
      <c r="Q1" s="5"/>
      <c r="R1" s="5"/>
      <c r="S1" s="5"/>
      <c r="T1" s="5"/>
      <c r="U1" s="5"/>
      <c r="V1" s="7" t="s">
        <v>44</v>
      </c>
      <c r="W1" s="8"/>
      <c r="X1" s="8"/>
      <c r="Y1" s="9" t="s">
        <v>38</v>
      </c>
      <c r="Z1" s="10" t="s">
        <v>81</v>
      </c>
      <c r="AA1" s="10"/>
      <c r="AB1" s="10"/>
      <c r="AC1" s="10"/>
      <c r="AD1" s="10"/>
      <c r="AE1" s="10"/>
      <c r="AF1" s="10"/>
      <c r="AG1" s="10"/>
      <c r="AH1" s="10"/>
      <c r="AI1" s="11"/>
      <c r="AJ1" s="12"/>
      <c r="AK1" s="13" t="s">
        <v>75</v>
      </c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</row>
    <row r="2" spans="1:54" ht="18.75" x14ac:dyDescent="0.25">
      <c r="A2" s="3"/>
      <c r="B2" s="14"/>
      <c r="C2" s="14" t="s">
        <v>50</v>
      </c>
      <c r="D2" s="14" t="s">
        <v>122</v>
      </c>
      <c r="E2" s="14" t="s">
        <v>121</v>
      </c>
      <c r="F2" s="14" t="s">
        <v>120</v>
      </c>
      <c r="G2" s="14" t="s">
        <v>119</v>
      </c>
      <c r="H2" s="14" t="s">
        <v>117</v>
      </c>
      <c r="I2" s="14" t="s">
        <v>116</v>
      </c>
      <c r="J2" s="14" t="s">
        <v>115</v>
      </c>
      <c r="K2" s="14" t="s">
        <v>114</v>
      </c>
      <c r="L2" s="14" t="s">
        <v>113</v>
      </c>
      <c r="M2" s="14" t="s">
        <v>112</v>
      </c>
      <c r="N2" s="7" t="s">
        <v>50</v>
      </c>
      <c r="O2" s="7" t="s">
        <v>111</v>
      </c>
      <c r="P2" s="7" t="s">
        <v>110</v>
      </c>
      <c r="Q2" s="7" t="s">
        <v>109</v>
      </c>
      <c r="R2" s="7" t="s">
        <v>108</v>
      </c>
      <c r="S2" s="7" t="s">
        <v>107</v>
      </c>
      <c r="T2" s="7" t="s">
        <v>42</v>
      </c>
      <c r="U2" s="7" t="s">
        <v>41</v>
      </c>
      <c r="V2" s="7" t="s">
        <v>40</v>
      </c>
      <c r="W2" s="15" t="s">
        <v>106</v>
      </c>
      <c r="X2" s="16" t="s">
        <v>50</v>
      </c>
      <c r="Y2" s="9" t="s">
        <v>80</v>
      </c>
      <c r="Z2" s="9" t="s">
        <v>37</v>
      </c>
      <c r="AA2" s="9" t="s">
        <v>36</v>
      </c>
      <c r="AB2" s="9" t="s">
        <v>35</v>
      </c>
      <c r="AC2" s="9" t="s">
        <v>34</v>
      </c>
      <c r="AD2" s="9" t="s">
        <v>33</v>
      </c>
      <c r="AE2" s="17" t="s">
        <v>79</v>
      </c>
      <c r="AF2" s="17" t="s">
        <v>78</v>
      </c>
      <c r="AG2" s="17" t="s">
        <v>77</v>
      </c>
      <c r="AH2" s="17" t="s">
        <v>76</v>
      </c>
      <c r="AI2" s="9"/>
      <c r="AJ2" s="9"/>
      <c r="AK2" s="18" t="s">
        <v>52</v>
      </c>
      <c r="AL2" s="8"/>
      <c r="AM2" s="19" t="s">
        <v>56</v>
      </c>
      <c r="AN2" s="20" t="s">
        <v>54</v>
      </c>
      <c r="AO2" s="21" t="s">
        <v>57</v>
      </c>
      <c r="AP2" s="21"/>
      <c r="AQ2" s="21" t="s">
        <v>74</v>
      </c>
      <c r="AR2" s="22" t="s">
        <v>50</v>
      </c>
      <c r="AS2" s="11" t="s">
        <v>32</v>
      </c>
      <c r="AT2" s="11" t="s">
        <v>31</v>
      </c>
      <c r="AU2" s="11" t="s">
        <v>30</v>
      </c>
      <c r="AV2" s="11" t="s">
        <v>29</v>
      </c>
      <c r="AW2" s="11" t="s">
        <v>28</v>
      </c>
      <c r="AX2" s="11" t="s">
        <v>49</v>
      </c>
      <c r="AY2" s="11" t="s">
        <v>27</v>
      </c>
      <c r="AZ2" s="11" t="s">
        <v>48</v>
      </c>
      <c r="BA2" s="11" t="s">
        <v>47</v>
      </c>
      <c r="BB2" s="11" t="s">
        <v>46</v>
      </c>
    </row>
    <row r="3" spans="1:54" ht="18.75" x14ac:dyDescent="0.25">
      <c r="A3" s="3"/>
      <c r="B3" s="23"/>
      <c r="C3" s="23" t="s">
        <v>123</v>
      </c>
      <c r="D3" s="23">
        <v>45997</v>
      </c>
      <c r="E3" s="23">
        <v>45990</v>
      </c>
      <c r="F3" s="23">
        <v>45983</v>
      </c>
      <c r="G3" s="23">
        <v>45976</v>
      </c>
      <c r="H3" s="23">
        <v>45969</v>
      </c>
      <c r="I3" s="23">
        <v>45962</v>
      </c>
      <c r="J3" s="23">
        <v>45955</v>
      </c>
      <c r="K3" s="23">
        <v>45948</v>
      </c>
      <c r="L3" s="23">
        <v>45941</v>
      </c>
      <c r="M3" s="23">
        <v>45934</v>
      </c>
      <c r="N3" s="24" t="s">
        <v>43</v>
      </c>
      <c r="O3" s="24">
        <v>45927</v>
      </c>
      <c r="P3" s="24">
        <v>45920</v>
      </c>
      <c r="Q3" s="24">
        <v>45913</v>
      </c>
      <c r="R3" s="24">
        <v>45906</v>
      </c>
      <c r="S3" s="24">
        <v>45899</v>
      </c>
      <c r="T3" s="24">
        <v>45892</v>
      </c>
      <c r="U3" s="24">
        <v>45885</v>
      </c>
      <c r="V3" s="24">
        <v>45878</v>
      </c>
      <c r="W3" s="15"/>
      <c r="X3" s="16" t="s">
        <v>38</v>
      </c>
      <c r="Y3" s="17">
        <v>45836</v>
      </c>
      <c r="Z3" s="17">
        <v>45829</v>
      </c>
      <c r="AA3" s="17">
        <v>45822</v>
      </c>
      <c r="AB3" s="17">
        <v>45815</v>
      </c>
      <c r="AC3" s="17">
        <v>45808</v>
      </c>
      <c r="AD3" s="17">
        <v>45801</v>
      </c>
      <c r="AE3" s="17">
        <v>45787</v>
      </c>
      <c r="AF3" s="17">
        <v>45780</v>
      </c>
      <c r="AG3" s="17">
        <v>45773</v>
      </c>
      <c r="AH3" s="17">
        <v>45766</v>
      </c>
      <c r="AI3" s="17">
        <v>45416</v>
      </c>
      <c r="AJ3" s="17">
        <v>45409</v>
      </c>
      <c r="AK3" s="8"/>
      <c r="AL3" s="8"/>
      <c r="AM3" s="8"/>
      <c r="AN3" s="8"/>
      <c r="AO3" s="8" t="s">
        <v>58</v>
      </c>
      <c r="AP3" s="8" t="s">
        <v>51</v>
      </c>
      <c r="AQ3" s="21"/>
      <c r="AR3" s="22" t="s">
        <v>39</v>
      </c>
      <c r="AS3" s="25">
        <v>45759</v>
      </c>
      <c r="AT3" s="25">
        <v>45752</v>
      </c>
      <c r="AU3" s="25">
        <v>45745</v>
      </c>
      <c r="AV3" s="25">
        <v>45738</v>
      </c>
      <c r="AW3" s="25">
        <v>45731</v>
      </c>
      <c r="AX3" s="25">
        <v>45724</v>
      </c>
      <c r="AY3" s="25">
        <v>45717</v>
      </c>
      <c r="AZ3" s="25">
        <v>45710</v>
      </c>
      <c r="BA3" s="25">
        <v>45703</v>
      </c>
      <c r="BB3" s="25">
        <v>45696</v>
      </c>
    </row>
    <row r="4" spans="1:54" ht="18.75" x14ac:dyDescent="0.25">
      <c r="A4" s="18" t="s">
        <v>7</v>
      </c>
      <c r="B4" s="8"/>
      <c r="C4" s="26">
        <f>SUM(D4:M4)/10</f>
        <v>2.831</v>
      </c>
      <c r="D4" s="27">
        <v>4.92</v>
      </c>
      <c r="E4" s="27">
        <v>3.09</v>
      </c>
      <c r="F4" s="28">
        <v>1.9</v>
      </c>
      <c r="G4" s="27">
        <v>3.09</v>
      </c>
      <c r="H4" s="29">
        <v>0.73</v>
      </c>
      <c r="I4" s="30">
        <v>2.65</v>
      </c>
      <c r="J4" s="30">
        <v>2.8</v>
      </c>
      <c r="K4" s="30">
        <v>2.95</v>
      </c>
      <c r="L4" s="27">
        <v>3.47</v>
      </c>
      <c r="M4" s="30">
        <v>2.71</v>
      </c>
      <c r="N4" s="31">
        <f>SUM(O4:V4)/8</f>
        <v>3.2375000000000003</v>
      </c>
      <c r="O4" s="27">
        <v>5.1100000000000003</v>
      </c>
      <c r="P4" s="27">
        <v>3.58</v>
      </c>
      <c r="Q4" s="27">
        <v>3.42</v>
      </c>
      <c r="R4" s="27">
        <v>3.13</v>
      </c>
      <c r="S4" s="29">
        <v>1.18</v>
      </c>
      <c r="T4" s="27">
        <v>3.11</v>
      </c>
      <c r="U4" s="30">
        <v>3</v>
      </c>
      <c r="V4" s="27">
        <v>3.37</v>
      </c>
      <c r="W4" s="32" t="s">
        <v>85</v>
      </c>
      <c r="X4" s="33">
        <v>3.39</v>
      </c>
      <c r="Y4" s="27">
        <v>3.24</v>
      </c>
      <c r="Z4" s="27">
        <v>3.68</v>
      </c>
      <c r="AA4" s="27">
        <v>4.2</v>
      </c>
      <c r="AB4" s="34">
        <v>0.71</v>
      </c>
      <c r="AC4" s="27">
        <v>3.41</v>
      </c>
      <c r="AD4" s="27">
        <v>4.67</v>
      </c>
      <c r="AE4" s="27">
        <v>3.57</v>
      </c>
      <c r="AF4" s="27">
        <v>5.07</v>
      </c>
      <c r="AG4" s="27">
        <v>3.64</v>
      </c>
      <c r="AH4" s="29">
        <v>0.47</v>
      </c>
      <c r="AI4" s="8"/>
      <c r="AJ4" s="8"/>
      <c r="AK4" s="18" t="s">
        <v>53</v>
      </c>
      <c r="AL4" s="8"/>
      <c r="AM4" s="35"/>
      <c r="AN4" s="36"/>
      <c r="AO4" s="37" t="s">
        <v>59</v>
      </c>
      <c r="AP4" s="38">
        <v>396</v>
      </c>
      <c r="AQ4" s="39" t="s">
        <v>89</v>
      </c>
      <c r="AR4" s="40">
        <v>2.2999999999999998</v>
      </c>
      <c r="AS4" s="28">
        <v>1.22</v>
      </c>
      <c r="AT4" s="27">
        <v>4.1100000000000003</v>
      </c>
      <c r="AU4" s="27">
        <v>4.45</v>
      </c>
      <c r="AV4" s="27">
        <v>3.3</v>
      </c>
      <c r="AW4" s="28">
        <v>1.88</v>
      </c>
      <c r="AX4" s="28">
        <v>1.04</v>
      </c>
      <c r="AY4" s="28">
        <v>1.99</v>
      </c>
      <c r="AZ4" s="28">
        <v>1.54</v>
      </c>
      <c r="BA4" s="30">
        <v>2.27</v>
      </c>
      <c r="BB4" s="28">
        <v>1.31</v>
      </c>
    </row>
    <row r="5" spans="1:54" ht="18.75" x14ac:dyDescent="0.25">
      <c r="A5" s="18" t="s">
        <v>17</v>
      </c>
      <c r="B5" s="8"/>
      <c r="C5" s="41">
        <f t="shared" ref="C5:C29" si="0">SUM(D5:M5)/10</f>
        <v>1.458</v>
      </c>
      <c r="D5" s="28">
        <v>0.57999999999999996</v>
      </c>
      <c r="E5" s="28">
        <v>0.98</v>
      </c>
      <c r="F5" s="28">
        <v>1.24</v>
      </c>
      <c r="G5" s="28">
        <v>0.34</v>
      </c>
      <c r="H5" s="29">
        <v>1.44</v>
      </c>
      <c r="I5" s="28">
        <v>1.35</v>
      </c>
      <c r="J5" s="30">
        <v>2.12</v>
      </c>
      <c r="K5" s="28">
        <v>1.01</v>
      </c>
      <c r="L5" s="30">
        <v>2.35</v>
      </c>
      <c r="M5" s="27">
        <v>3.17</v>
      </c>
      <c r="N5" s="31">
        <f t="shared" ref="N5:N29" si="1">SUM(O5:V5)/8</f>
        <v>3.085</v>
      </c>
      <c r="O5" s="30">
        <v>2.44</v>
      </c>
      <c r="P5" s="30">
        <v>2.08</v>
      </c>
      <c r="Q5" s="28">
        <v>1.59</v>
      </c>
      <c r="R5" s="27">
        <v>3.04</v>
      </c>
      <c r="S5" s="30">
        <v>2.2200000000000002</v>
      </c>
      <c r="T5" s="27">
        <v>4.71</v>
      </c>
      <c r="U5" s="27">
        <v>4.45</v>
      </c>
      <c r="V5" s="27">
        <v>4.1500000000000004</v>
      </c>
      <c r="W5" s="42" t="s">
        <v>97</v>
      </c>
      <c r="X5" s="43">
        <v>2.96</v>
      </c>
      <c r="Y5" s="30">
        <v>2.75</v>
      </c>
      <c r="Z5" s="27">
        <v>3.21</v>
      </c>
      <c r="AA5" s="30">
        <v>2.08</v>
      </c>
      <c r="AB5" s="27">
        <v>3.44</v>
      </c>
      <c r="AC5" s="27">
        <v>3.7</v>
      </c>
      <c r="AD5" s="27">
        <v>3.78</v>
      </c>
      <c r="AE5" s="27">
        <v>3.25</v>
      </c>
      <c r="AF5" s="30">
        <v>2.63</v>
      </c>
      <c r="AG5" s="30">
        <v>2.57</v>
      </c>
      <c r="AH5" s="29">
        <v>1.0900000000000001</v>
      </c>
      <c r="AI5" s="8"/>
      <c r="AJ5" s="8"/>
      <c r="AK5" s="18" t="s">
        <v>53</v>
      </c>
      <c r="AL5" s="8"/>
      <c r="AM5" s="35"/>
      <c r="AN5" s="36"/>
      <c r="AO5" s="37" t="s">
        <v>60</v>
      </c>
      <c r="AP5" s="44">
        <v>521</v>
      </c>
      <c r="AQ5" s="30" t="s">
        <v>84</v>
      </c>
      <c r="AR5" s="40">
        <v>2.46</v>
      </c>
      <c r="AS5" s="28">
        <v>0.75</v>
      </c>
      <c r="AT5" s="30">
        <v>2.82</v>
      </c>
      <c r="AU5" s="27">
        <v>5.1100000000000003</v>
      </c>
      <c r="AV5" s="27">
        <v>3.19</v>
      </c>
      <c r="AW5" s="27">
        <v>3.08</v>
      </c>
      <c r="AX5" s="28">
        <v>0.98</v>
      </c>
      <c r="AY5" s="27">
        <v>5.49</v>
      </c>
      <c r="AZ5" s="28">
        <v>1.36</v>
      </c>
      <c r="BA5" s="28">
        <v>1.81</v>
      </c>
      <c r="BB5" s="28">
        <v>0.14000000000000001</v>
      </c>
    </row>
    <row r="6" spans="1:54" ht="18.75" x14ac:dyDescent="0.25">
      <c r="A6" s="45" t="s">
        <v>8</v>
      </c>
      <c r="B6" s="8"/>
      <c r="C6" s="41">
        <f t="shared" si="0"/>
        <v>1.6439999999999997</v>
      </c>
      <c r="D6" s="28">
        <v>0.91</v>
      </c>
      <c r="E6" s="28">
        <v>1.71</v>
      </c>
      <c r="F6" s="30">
        <v>2.78</v>
      </c>
      <c r="G6" s="28">
        <v>1.29</v>
      </c>
      <c r="H6" s="29">
        <v>1.22</v>
      </c>
      <c r="I6" s="28">
        <v>1.4</v>
      </c>
      <c r="J6" s="30">
        <v>2.36</v>
      </c>
      <c r="K6" s="28">
        <v>0.92</v>
      </c>
      <c r="L6" s="30">
        <v>2.77</v>
      </c>
      <c r="M6" s="28">
        <v>1.08</v>
      </c>
      <c r="N6" s="31">
        <f t="shared" si="1"/>
        <v>3.0287500000000001</v>
      </c>
      <c r="O6" s="27">
        <v>4.0199999999999996</v>
      </c>
      <c r="P6" s="28">
        <v>1.49</v>
      </c>
      <c r="Q6" s="30">
        <v>2.57</v>
      </c>
      <c r="R6" s="28">
        <v>1.99</v>
      </c>
      <c r="S6" s="29">
        <v>1.35</v>
      </c>
      <c r="T6" s="27">
        <v>3.52</v>
      </c>
      <c r="U6" s="27">
        <v>5.26</v>
      </c>
      <c r="V6" s="27">
        <v>4.03</v>
      </c>
      <c r="W6" s="46" t="s">
        <v>98</v>
      </c>
      <c r="X6" s="43">
        <v>2.95</v>
      </c>
      <c r="Y6" s="30">
        <v>2.61</v>
      </c>
      <c r="Z6" s="34">
        <v>1.35</v>
      </c>
      <c r="AA6" s="34">
        <v>1.64</v>
      </c>
      <c r="AB6" s="30">
        <v>2.69</v>
      </c>
      <c r="AC6" s="27">
        <v>3.94</v>
      </c>
      <c r="AD6" s="27">
        <v>4.38</v>
      </c>
      <c r="AE6" s="27">
        <v>3.94</v>
      </c>
      <c r="AF6" s="27">
        <v>3.66</v>
      </c>
      <c r="AG6" s="27">
        <v>3.4</v>
      </c>
      <c r="AH6" s="29">
        <v>0.04</v>
      </c>
      <c r="AI6" s="8"/>
      <c r="AJ6" s="8"/>
      <c r="AK6" s="35"/>
      <c r="AL6" s="8"/>
      <c r="AM6" s="19" t="s">
        <v>55</v>
      </c>
      <c r="AN6" s="20" t="s">
        <v>55</v>
      </c>
      <c r="AO6" s="8" t="s">
        <v>61</v>
      </c>
      <c r="AP6" s="44">
        <v>815</v>
      </c>
      <c r="AQ6" s="46" t="s">
        <v>85</v>
      </c>
      <c r="AR6" s="40">
        <v>2.56</v>
      </c>
      <c r="AS6" s="28">
        <v>0.09</v>
      </c>
      <c r="AT6" s="28">
        <v>0.73</v>
      </c>
      <c r="AU6" s="27">
        <v>4.79</v>
      </c>
      <c r="AV6" s="27">
        <v>4.1500000000000004</v>
      </c>
      <c r="AW6" s="27">
        <v>4.8499999999999996</v>
      </c>
      <c r="AX6" s="28">
        <v>0.99</v>
      </c>
      <c r="AY6" s="27">
        <v>4.53</v>
      </c>
      <c r="AZ6" s="30">
        <v>2.9</v>
      </c>
      <c r="BA6" s="28">
        <v>1.76</v>
      </c>
      <c r="BB6" s="28">
        <v>0.77</v>
      </c>
    </row>
    <row r="7" spans="1:54" ht="18.75" x14ac:dyDescent="0.25">
      <c r="A7" s="45" t="s">
        <v>11</v>
      </c>
      <c r="B7" s="8"/>
      <c r="C7" s="31">
        <f t="shared" si="0"/>
        <v>3.3939999999999997</v>
      </c>
      <c r="D7" s="27">
        <v>7.06</v>
      </c>
      <c r="E7" s="27">
        <v>3.67</v>
      </c>
      <c r="F7" s="30">
        <v>2.4500000000000002</v>
      </c>
      <c r="G7" s="27">
        <v>3.79</v>
      </c>
      <c r="H7" s="27">
        <v>4.55</v>
      </c>
      <c r="I7" s="30">
        <v>2.2999999999999998</v>
      </c>
      <c r="J7" s="28">
        <v>1.1499999999999999</v>
      </c>
      <c r="K7" s="27">
        <v>4.0599999999999996</v>
      </c>
      <c r="L7" s="30">
        <v>2.82</v>
      </c>
      <c r="M7" s="30">
        <v>2.09</v>
      </c>
      <c r="N7" s="31">
        <f t="shared" si="1"/>
        <v>3.42</v>
      </c>
      <c r="O7" s="30">
        <v>2.76</v>
      </c>
      <c r="P7" s="27">
        <v>4.03</v>
      </c>
      <c r="Q7" s="27">
        <v>3.15</v>
      </c>
      <c r="R7" s="30">
        <v>2.33</v>
      </c>
      <c r="S7" s="29">
        <v>1.24</v>
      </c>
      <c r="T7" s="27">
        <v>3.72</v>
      </c>
      <c r="U7" s="27">
        <v>4.25</v>
      </c>
      <c r="V7" s="27">
        <v>5.88</v>
      </c>
      <c r="W7" s="47" t="s">
        <v>87</v>
      </c>
      <c r="X7" s="33">
        <v>3.49</v>
      </c>
      <c r="Y7" s="34">
        <v>0.09</v>
      </c>
      <c r="Z7" s="30">
        <v>2.42</v>
      </c>
      <c r="AA7" s="34">
        <v>1.61</v>
      </c>
      <c r="AB7" s="27">
        <v>5.52</v>
      </c>
      <c r="AC7" s="27">
        <v>5.15</v>
      </c>
      <c r="AD7" s="27">
        <v>5.91</v>
      </c>
      <c r="AE7" s="30">
        <v>2.62</v>
      </c>
      <c r="AF7" s="27">
        <v>5.2</v>
      </c>
      <c r="AG7" s="30">
        <v>2.89</v>
      </c>
      <c r="AH7" s="30">
        <v>2.97</v>
      </c>
      <c r="AI7" s="8"/>
      <c r="AJ7" s="8"/>
      <c r="AK7" s="35"/>
      <c r="AL7" s="8"/>
      <c r="AM7" s="35"/>
      <c r="AN7" s="20" t="s">
        <v>55</v>
      </c>
      <c r="AO7" s="8" t="s">
        <v>59</v>
      </c>
      <c r="AP7" s="38">
        <v>50</v>
      </c>
      <c r="AQ7" s="27" t="s">
        <v>82</v>
      </c>
      <c r="AR7" s="48">
        <v>3.01</v>
      </c>
      <c r="AS7" s="28">
        <v>0.17</v>
      </c>
      <c r="AT7" s="28">
        <v>1.43</v>
      </c>
      <c r="AU7" s="27">
        <v>6.2</v>
      </c>
      <c r="AV7" s="27">
        <v>4.2300000000000004</v>
      </c>
      <c r="AW7" s="30">
        <v>2</v>
      </c>
      <c r="AX7" s="27">
        <v>5.51</v>
      </c>
      <c r="AY7" s="27">
        <v>3</v>
      </c>
      <c r="AZ7" s="27">
        <v>5.51</v>
      </c>
      <c r="BA7" s="30">
        <v>2.06</v>
      </c>
      <c r="BB7" s="49"/>
    </row>
    <row r="8" spans="1:54" ht="18.75" x14ac:dyDescent="0.25">
      <c r="A8" s="18" t="s">
        <v>12</v>
      </c>
      <c r="B8" s="8"/>
      <c r="C8" s="41">
        <f t="shared" si="0"/>
        <v>1.948</v>
      </c>
      <c r="D8" s="28">
        <v>0.19</v>
      </c>
      <c r="E8" s="30">
        <v>2.8</v>
      </c>
      <c r="F8" s="28">
        <v>1.63</v>
      </c>
      <c r="G8" s="27">
        <v>3.03</v>
      </c>
      <c r="H8" s="29">
        <v>0.79</v>
      </c>
      <c r="I8" s="30">
        <v>2.39</v>
      </c>
      <c r="J8" s="28">
        <v>1.86</v>
      </c>
      <c r="K8" s="28">
        <v>1.46</v>
      </c>
      <c r="L8" s="27">
        <v>3.28</v>
      </c>
      <c r="M8" s="30">
        <v>2.0499999999999998</v>
      </c>
      <c r="N8" s="26">
        <f t="shared" si="1"/>
        <v>2.87</v>
      </c>
      <c r="O8" s="30">
        <v>2.17</v>
      </c>
      <c r="P8" s="28">
        <v>1.3</v>
      </c>
      <c r="Q8" s="27">
        <v>3.36</v>
      </c>
      <c r="R8" s="30">
        <v>2.0499999999999998</v>
      </c>
      <c r="S8" s="29">
        <v>1.72</v>
      </c>
      <c r="T8" s="27">
        <v>3.77</v>
      </c>
      <c r="U8" s="27">
        <v>3.58</v>
      </c>
      <c r="V8" s="27">
        <v>5.01</v>
      </c>
      <c r="W8" s="39" t="s">
        <v>102</v>
      </c>
      <c r="X8" s="43">
        <v>2.5499999999999998</v>
      </c>
      <c r="Y8" s="34">
        <v>1.46</v>
      </c>
      <c r="Z8" s="34">
        <v>1.1499999999999999</v>
      </c>
      <c r="AA8" s="34">
        <v>1.69</v>
      </c>
      <c r="AB8" s="34">
        <v>1.42</v>
      </c>
      <c r="AC8" s="27">
        <v>3.42</v>
      </c>
      <c r="AD8" s="30">
        <v>2.54</v>
      </c>
      <c r="AE8" s="27">
        <v>5.59</v>
      </c>
      <c r="AF8" s="27">
        <v>3.02</v>
      </c>
      <c r="AG8" s="30">
        <v>2.66</v>
      </c>
      <c r="AH8" s="29">
        <v>0.55000000000000004</v>
      </c>
      <c r="AI8" s="8"/>
      <c r="AJ8" s="8"/>
      <c r="AK8" s="18" t="s">
        <v>53</v>
      </c>
      <c r="AL8" s="8"/>
      <c r="AM8" s="35"/>
      <c r="AN8" s="36"/>
      <c r="AO8" s="37" t="s">
        <v>59</v>
      </c>
      <c r="AP8" s="44">
        <v>503</v>
      </c>
      <c r="AQ8" s="50" t="s">
        <v>98</v>
      </c>
      <c r="AR8" s="51">
        <v>1.99</v>
      </c>
      <c r="AS8" s="28">
        <v>0.45</v>
      </c>
      <c r="AT8" s="28">
        <v>0.23</v>
      </c>
      <c r="AU8" s="27">
        <v>4.09</v>
      </c>
      <c r="AV8" s="27">
        <v>4.7300000000000004</v>
      </c>
      <c r="AW8" s="27">
        <v>3.34</v>
      </c>
      <c r="AX8" s="28">
        <v>1.63</v>
      </c>
      <c r="AY8" s="30">
        <v>2.54</v>
      </c>
      <c r="AZ8" s="30">
        <v>2.02</v>
      </c>
      <c r="BA8" s="28">
        <v>0.26</v>
      </c>
      <c r="BB8" s="28">
        <v>0.67</v>
      </c>
    </row>
    <row r="9" spans="1:54" ht="18.75" x14ac:dyDescent="0.25">
      <c r="A9" s="18" t="s">
        <v>6</v>
      </c>
      <c r="B9" s="8"/>
      <c r="C9" s="41">
        <f t="shared" si="0"/>
        <v>1.2310000000000001</v>
      </c>
      <c r="D9" s="28">
        <v>1.99</v>
      </c>
      <c r="E9" s="30">
        <v>2.2599999999999998</v>
      </c>
      <c r="F9" s="28">
        <v>0.87</v>
      </c>
      <c r="G9" s="27">
        <v>3.03</v>
      </c>
      <c r="H9" s="52"/>
      <c r="I9" s="28">
        <v>0.08</v>
      </c>
      <c r="J9" s="28">
        <v>0.15</v>
      </c>
      <c r="K9" s="28">
        <v>0.36</v>
      </c>
      <c r="L9" s="30">
        <v>2.0099999999999998</v>
      </c>
      <c r="M9" s="28">
        <v>1.56</v>
      </c>
      <c r="N9" s="26">
        <f t="shared" si="1"/>
        <v>2.6624999999999996</v>
      </c>
      <c r="O9" s="28">
        <v>1.95</v>
      </c>
      <c r="P9" s="27">
        <v>3.45</v>
      </c>
      <c r="Q9" s="30">
        <v>2.52</v>
      </c>
      <c r="R9" s="28">
        <v>1.93</v>
      </c>
      <c r="S9" s="29">
        <v>0.45</v>
      </c>
      <c r="T9" s="30">
        <v>2.2400000000000002</v>
      </c>
      <c r="U9" s="27">
        <v>3.79</v>
      </c>
      <c r="V9" s="27">
        <v>4.97</v>
      </c>
      <c r="W9" s="38" t="s">
        <v>92</v>
      </c>
      <c r="X9" s="33">
        <v>3.13</v>
      </c>
      <c r="Y9" s="34">
        <v>0.51</v>
      </c>
      <c r="Z9" s="30">
        <v>2.02</v>
      </c>
      <c r="AA9" s="27">
        <v>3.12</v>
      </c>
      <c r="AB9" s="30">
        <v>2.39</v>
      </c>
      <c r="AC9" s="27">
        <v>6.27</v>
      </c>
      <c r="AD9" s="27">
        <v>3.64</v>
      </c>
      <c r="AE9" s="27">
        <v>3.71</v>
      </c>
      <c r="AF9" s="27">
        <v>3.12</v>
      </c>
      <c r="AG9" s="27">
        <v>4.26</v>
      </c>
      <c r="AH9" s="29">
        <v>0.87</v>
      </c>
      <c r="AI9" s="8"/>
      <c r="AJ9" s="8"/>
      <c r="AK9" s="18" t="s">
        <v>53</v>
      </c>
      <c r="AL9" s="8"/>
      <c r="AM9" s="19" t="s">
        <v>55</v>
      </c>
      <c r="AN9" s="20" t="s">
        <v>55</v>
      </c>
      <c r="AO9" s="37" t="s">
        <v>60</v>
      </c>
      <c r="AP9" s="38">
        <v>254</v>
      </c>
      <c r="AQ9" s="53" t="s">
        <v>92</v>
      </c>
      <c r="AR9" s="40">
        <v>2.17</v>
      </c>
      <c r="AS9" s="28">
        <v>1</v>
      </c>
      <c r="AT9" s="28">
        <v>0.5</v>
      </c>
      <c r="AU9" s="27">
        <v>3.64</v>
      </c>
      <c r="AV9" s="30">
        <v>2.67</v>
      </c>
      <c r="AW9" s="27">
        <v>3.42</v>
      </c>
      <c r="AX9" s="28">
        <v>0.78</v>
      </c>
      <c r="AY9" s="28">
        <v>1.86</v>
      </c>
      <c r="AZ9" s="27">
        <v>3.63</v>
      </c>
      <c r="BA9" s="27">
        <v>3.17</v>
      </c>
      <c r="BB9" s="28">
        <v>0.96</v>
      </c>
    </row>
    <row r="10" spans="1:54" ht="18.75" x14ac:dyDescent="0.25">
      <c r="A10" s="45" t="s">
        <v>26</v>
      </c>
      <c r="B10" s="8"/>
      <c r="C10" s="26">
        <f t="shared" si="0"/>
        <v>2.4170000000000003</v>
      </c>
      <c r="D10" s="27">
        <v>6.74</v>
      </c>
      <c r="E10" s="28">
        <v>1.23</v>
      </c>
      <c r="F10" s="28">
        <v>1.03</v>
      </c>
      <c r="G10" s="30">
        <v>2.12</v>
      </c>
      <c r="H10" s="29">
        <v>0.06</v>
      </c>
      <c r="I10" s="28">
        <v>0.77</v>
      </c>
      <c r="J10" s="27">
        <v>3.72</v>
      </c>
      <c r="K10" s="27">
        <v>3.36</v>
      </c>
      <c r="L10" s="30">
        <v>2.4</v>
      </c>
      <c r="M10" s="30">
        <v>2.74</v>
      </c>
      <c r="N10" s="31">
        <f t="shared" si="1"/>
        <v>3.5874999999999999</v>
      </c>
      <c r="O10" s="30">
        <v>2.09</v>
      </c>
      <c r="P10" s="30">
        <v>2.58</v>
      </c>
      <c r="Q10" s="27">
        <v>4.84</v>
      </c>
      <c r="R10" s="27">
        <v>4.49</v>
      </c>
      <c r="S10" s="30">
        <v>2.62</v>
      </c>
      <c r="T10" s="27">
        <v>5.24</v>
      </c>
      <c r="U10" s="27">
        <v>5.28</v>
      </c>
      <c r="V10" s="28">
        <v>1.56</v>
      </c>
      <c r="W10" s="54" t="s">
        <v>93</v>
      </c>
      <c r="X10" s="33">
        <v>3.11</v>
      </c>
      <c r="Y10" s="27">
        <v>5.8</v>
      </c>
      <c r="Z10" s="30">
        <v>2.97</v>
      </c>
      <c r="AA10" s="30">
        <v>2.2400000000000002</v>
      </c>
      <c r="AB10" s="27">
        <v>3.02</v>
      </c>
      <c r="AC10" s="27">
        <v>4.03</v>
      </c>
      <c r="AD10" s="30">
        <v>2.04</v>
      </c>
      <c r="AE10" s="27">
        <v>3.43</v>
      </c>
      <c r="AF10" s="28">
        <v>1.81</v>
      </c>
      <c r="AG10" s="30">
        <v>2.9</v>
      </c>
      <c r="AH10" s="29">
        <v>0.57999999999999996</v>
      </c>
      <c r="AI10" s="8"/>
      <c r="AJ10" s="8"/>
      <c r="AK10" s="35"/>
      <c r="AL10" s="35"/>
      <c r="AM10" s="35"/>
      <c r="AN10" s="20" t="s">
        <v>55</v>
      </c>
      <c r="AO10" s="8" t="s">
        <v>60</v>
      </c>
      <c r="AP10" s="44">
        <v>897</v>
      </c>
      <c r="AQ10" s="55" t="s">
        <v>90</v>
      </c>
      <c r="AR10" s="40">
        <v>2.29</v>
      </c>
      <c r="AS10" s="28">
        <v>0.96</v>
      </c>
      <c r="AT10" s="28">
        <v>0.5</v>
      </c>
      <c r="AU10" s="27">
        <v>5.95</v>
      </c>
      <c r="AV10" s="28">
        <v>1.7</v>
      </c>
      <c r="AW10" s="27">
        <v>3.39</v>
      </c>
      <c r="AX10" s="28">
        <v>0.86</v>
      </c>
      <c r="AY10" s="28">
        <v>1.57</v>
      </c>
      <c r="AZ10" s="27">
        <v>4.42</v>
      </c>
      <c r="BA10" s="27">
        <v>3.59</v>
      </c>
      <c r="BB10" s="49"/>
    </row>
    <row r="11" spans="1:54" ht="18.75" x14ac:dyDescent="0.25">
      <c r="A11" s="45" t="s">
        <v>13</v>
      </c>
      <c r="B11" s="8"/>
      <c r="C11" s="41">
        <f t="shared" si="0"/>
        <v>1.0089999999999999</v>
      </c>
      <c r="D11" s="28">
        <v>0.03</v>
      </c>
      <c r="E11" s="28">
        <v>0.06</v>
      </c>
      <c r="F11" s="28">
        <v>0.31</v>
      </c>
      <c r="G11" s="28">
        <v>1.7</v>
      </c>
      <c r="H11" s="29">
        <v>0.25</v>
      </c>
      <c r="I11" s="28">
        <v>0.96</v>
      </c>
      <c r="J11" s="28">
        <v>1.65</v>
      </c>
      <c r="K11" s="28">
        <v>1.85</v>
      </c>
      <c r="L11" s="28">
        <v>1.34</v>
      </c>
      <c r="M11" s="28">
        <v>1.94</v>
      </c>
      <c r="N11" s="41">
        <f t="shared" si="1"/>
        <v>1.7424999999999999</v>
      </c>
      <c r="O11" s="28">
        <v>0.19</v>
      </c>
      <c r="P11" s="28">
        <v>0.27</v>
      </c>
      <c r="Q11" s="28">
        <v>0.25</v>
      </c>
      <c r="R11" s="28">
        <v>0.78</v>
      </c>
      <c r="S11" s="29">
        <v>0.61</v>
      </c>
      <c r="T11" s="30">
        <v>2.2400000000000002</v>
      </c>
      <c r="U11" s="27">
        <v>4.5</v>
      </c>
      <c r="V11" s="27">
        <v>5.0999999999999996</v>
      </c>
      <c r="W11" s="56" t="s">
        <v>90</v>
      </c>
      <c r="X11" s="33">
        <v>3.17</v>
      </c>
      <c r="Y11" s="34">
        <v>1.08</v>
      </c>
      <c r="Z11" s="34">
        <v>0.68</v>
      </c>
      <c r="AA11" s="34">
        <v>0.2</v>
      </c>
      <c r="AB11" s="34">
        <v>0.32</v>
      </c>
      <c r="AC11" s="34">
        <v>1.75</v>
      </c>
      <c r="AD11" s="27">
        <v>6.5</v>
      </c>
      <c r="AE11" s="27">
        <v>4.1500000000000004</v>
      </c>
      <c r="AF11" s="28">
        <v>1.1200000000000001</v>
      </c>
      <c r="AG11" s="28">
        <v>1.49</v>
      </c>
      <c r="AH11" s="30">
        <v>2.23</v>
      </c>
      <c r="AI11" s="8"/>
      <c r="AJ11" s="8"/>
      <c r="AK11" s="35"/>
      <c r="AL11" s="8"/>
      <c r="AM11" s="19" t="s">
        <v>55</v>
      </c>
      <c r="AN11" s="20" t="s">
        <v>55</v>
      </c>
      <c r="AO11" s="8" t="s">
        <v>61</v>
      </c>
      <c r="AP11" s="44">
        <v>571</v>
      </c>
      <c r="AQ11" s="57" t="s">
        <v>93</v>
      </c>
      <c r="AR11" s="40">
        <v>2.15</v>
      </c>
      <c r="AS11" s="30">
        <v>2.82</v>
      </c>
      <c r="AT11" s="28">
        <v>0.52</v>
      </c>
      <c r="AU11" s="27">
        <v>3.84</v>
      </c>
      <c r="AV11" s="27">
        <v>3.65</v>
      </c>
      <c r="AW11" s="27">
        <v>3.97</v>
      </c>
      <c r="AX11" s="28">
        <v>0.91</v>
      </c>
      <c r="AY11" s="30">
        <v>2.12</v>
      </c>
      <c r="AZ11" s="28">
        <v>1.81</v>
      </c>
      <c r="BA11" s="28">
        <v>1.22</v>
      </c>
      <c r="BB11" s="28">
        <v>0.63</v>
      </c>
    </row>
    <row r="12" spans="1:54" ht="18.75" x14ac:dyDescent="0.25">
      <c r="A12" s="45" t="s">
        <v>15</v>
      </c>
      <c r="B12" s="8"/>
      <c r="C12" s="41">
        <f t="shared" si="0"/>
        <v>1.3679999999999999</v>
      </c>
      <c r="D12" s="28">
        <v>0.4</v>
      </c>
      <c r="E12" s="30">
        <v>2.09</v>
      </c>
      <c r="F12" s="28">
        <v>1.92</v>
      </c>
      <c r="G12" s="28">
        <v>0.42</v>
      </c>
      <c r="H12" s="29">
        <v>0.03</v>
      </c>
      <c r="I12" s="28">
        <v>1.22</v>
      </c>
      <c r="J12" s="28">
        <v>0.86</v>
      </c>
      <c r="K12" s="28">
        <v>1.95</v>
      </c>
      <c r="L12" s="30">
        <v>2.34</v>
      </c>
      <c r="M12" s="30">
        <v>2.4500000000000002</v>
      </c>
      <c r="N12" s="26">
        <f t="shared" si="1"/>
        <v>2.7800000000000002</v>
      </c>
      <c r="O12" s="27">
        <v>3.8</v>
      </c>
      <c r="P12" s="30">
        <v>2.1800000000000002</v>
      </c>
      <c r="Q12" s="30">
        <v>2.88</v>
      </c>
      <c r="R12" s="27">
        <v>4.28</v>
      </c>
      <c r="S12" s="29">
        <v>1.22</v>
      </c>
      <c r="T12" s="30">
        <v>2.12</v>
      </c>
      <c r="U12" s="30">
        <v>2.0299999999999998</v>
      </c>
      <c r="V12" s="27">
        <v>3.73</v>
      </c>
      <c r="W12" s="58" t="s">
        <v>95</v>
      </c>
      <c r="X12" s="33">
        <v>3.05</v>
      </c>
      <c r="Y12" s="34">
        <v>1.08</v>
      </c>
      <c r="Z12" s="30">
        <v>2.23</v>
      </c>
      <c r="AA12" s="30">
        <v>2.06</v>
      </c>
      <c r="AB12" s="27">
        <v>4.08</v>
      </c>
      <c r="AC12" s="27">
        <v>3.24</v>
      </c>
      <c r="AD12" s="27">
        <v>3.54</v>
      </c>
      <c r="AE12" s="27">
        <v>3.33</v>
      </c>
      <c r="AF12" s="27">
        <v>3.96</v>
      </c>
      <c r="AG12" s="27">
        <v>4.84</v>
      </c>
      <c r="AH12" s="29">
        <v>1.27</v>
      </c>
      <c r="AI12" s="8"/>
      <c r="AJ12" s="8"/>
      <c r="AK12" s="35"/>
      <c r="AL12" s="8"/>
      <c r="AM12" s="19" t="s">
        <v>55</v>
      </c>
      <c r="AN12" s="20" t="s">
        <v>55</v>
      </c>
      <c r="AO12" s="8" t="s">
        <v>61</v>
      </c>
      <c r="AP12" s="44">
        <v>642</v>
      </c>
      <c r="AQ12" s="29" t="s">
        <v>101</v>
      </c>
      <c r="AR12" s="51">
        <v>1.86</v>
      </c>
      <c r="AS12" s="28">
        <v>1.51</v>
      </c>
      <c r="AT12" s="30">
        <v>2.4300000000000002</v>
      </c>
      <c r="AU12" s="30">
        <v>2.39</v>
      </c>
      <c r="AV12" s="30">
        <v>2.57</v>
      </c>
      <c r="AW12" s="28">
        <v>1.1399999999999999</v>
      </c>
      <c r="AX12" s="49"/>
      <c r="AY12" s="28">
        <v>0.85</v>
      </c>
      <c r="AZ12" s="27">
        <v>3.26</v>
      </c>
      <c r="BA12" s="27">
        <v>4.24</v>
      </c>
      <c r="BB12" s="28">
        <v>0.22</v>
      </c>
    </row>
    <row r="13" spans="1:54" ht="18.75" x14ac:dyDescent="0.25">
      <c r="A13" s="45" t="s">
        <v>10</v>
      </c>
      <c r="B13" s="8"/>
      <c r="C13" s="41">
        <f t="shared" si="0"/>
        <v>1.1759999999999999</v>
      </c>
      <c r="D13" s="28">
        <v>0.09</v>
      </c>
      <c r="E13" s="28">
        <v>0.28999999999999998</v>
      </c>
      <c r="F13" s="28">
        <v>1.39</v>
      </c>
      <c r="G13" s="30">
        <v>2.52</v>
      </c>
      <c r="H13" s="29">
        <v>0.6</v>
      </c>
      <c r="I13" s="28">
        <v>0.16</v>
      </c>
      <c r="J13" s="28">
        <v>0.49</v>
      </c>
      <c r="K13" s="28">
        <v>1.58</v>
      </c>
      <c r="L13" s="27">
        <v>3.45</v>
      </c>
      <c r="M13" s="28">
        <v>1.19</v>
      </c>
      <c r="N13" s="41">
        <f t="shared" si="1"/>
        <v>1.85</v>
      </c>
      <c r="O13" s="28">
        <v>1.17</v>
      </c>
      <c r="P13" s="28">
        <v>0.45</v>
      </c>
      <c r="Q13" s="28">
        <v>1.57</v>
      </c>
      <c r="R13" s="30">
        <v>2.9</v>
      </c>
      <c r="S13" s="29">
        <v>0.69</v>
      </c>
      <c r="T13" s="27">
        <v>4.5999999999999996</v>
      </c>
      <c r="U13" s="28">
        <v>1.55</v>
      </c>
      <c r="V13" s="28">
        <v>1.87</v>
      </c>
      <c r="W13" s="57" t="s">
        <v>104</v>
      </c>
      <c r="X13" s="43">
        <v>2.46</v>
      </c>
      <c r="Y13" s="34">
        <v>1.04</v>
      </c>
      <c r="Z13" s="34">
        <v>1.2</v>
      </c>
      <c r="AA13" s="34">
        <v>1.25</v>
      </c>
      <c r="AB13" s="27">
        <v>3.79</v>
      </c>
      <c r="AC13" s="27">
        <v>3.01</v>
      </c>
      <c r="AD13" s="30">
        <v>2.71</v>
      </c>
      <c r="AE13" s="27">
        <v>3.57</v>
      </c>
      <c r="AF13" s="27">
        <v>3.13</v>
      </c>
      <c r="AG13" s="28">
        <v>1.29</v>
      </c>
      <c r="AH13" s="30">
        <v>2.72</v>
      </c>
      <c r="AI13" s="8"/>
      <c r="AJ13" s="8"/>
      <c r="AK13" s="35"/>
      <c r="AL13" s="8"/>
      <c r="AM13" s="35"/>
      <c r="AN13" s="20" t="s">
        <v>55</v>
      </c>
      <c r="AO13" s="8" t="s">
        <v>60</v>
      </c>
      <c r="AP13" s="44">
        <v>527</v>
      </c>
      <c r="AQ13" s="59" t="s">
        <v>94</v>
      </c>
      <c r="AR13" s="51">
        <v>1.31</v>
      </c>
      <c r="AS13" s="28">
        <v>1.03</v>
      </c>
      <c r="AT13" s="28">
        <v>0.41</v>
      </c>
      <c r="AU13" s="30">
        <v>2.78</v>
      </c>
      <c r="AV13" s="30">
        <v>2.0299999999999998</v>
      </c>
      <c r="AW13" s="30">
        <v>2.23</v>
      </c>
      <c r="AX13" s="28">
        <v>0.12</v>
      </c>
      <c r="AY13" s="28">
        <v>1.21</v>
      </c>
      <c r="AZ13" s="30">
        <v>2.16</v>
      </c>
      <c r="BA13" s="28">
        <v>0.61</v>
      </c>
      <c r="BB13" s="28">
        <v>0.57999999999999996</v>
      </c>
    </row>
    <row r="14" spans="1:54" ht="18.75" x14ac:dyDescent="0.25">
      <c r="A14" s="45" t="s">
        <v>18</v>
      </c>
      <c r="B14" s="8"/>
      <c r="C14" s="41">
        <f t="shared" si="0"/>
        <v>1.2810000000000001</v>
      </c>
      <c r="D14" s="28">
        <v>0.35</v>
      </c>
      <c r="E14" s="28">
        <v>1.37</v>
      </c>
      <c r="F14" s="28">
        <v>1.0900000000000001</v>
      </c>
      <c r="G14" s="28">
        <v>1.93</v>
      </c>
      <c r="H14" s="29">
        <v>1.29</v>
      </c>
      <c r="I14" s="28">
        <v>1.03</v>
      </c>
      <c r="J14" s="28">
        <v>1.1599999999999999</v>
      </c>
      <c r="K14" s="28">
        <v>1.35</v>
      </c>
      <c r="L14" s="30">
        <v>2.12</v>
      </c>
      <c r="M14" s="28">
        <v>1.1200000000000001</v>
      </c>
      <c r="N14" s="41">
        <f t="shared" si="1"/>
        <v>1.7775000000000001</v>
      </c>
      <c r="O14" s="28">
        <v>1.44</v>
      </c>
      <c r="P14" s="28">
        <v>0.36</v>
      </c>
      <c r="Q14" s="30">
        <v>2.79</v>
      </c>
      <c r="R14" s="28">
        <v>1.98</v>
      </c>
      <c r="S14" s="29">
        <v>0.84</v>
      </c>
      <c r="T14" s="28">
        <v>1.25</v>
      </c>
      <c r="U14" s="30">
        <v>2.3199999999999998</v>
      </c>
      <c r="V14" s="27">
        <v>3.24</v>
      </c>
      <c r="W14" s="60" t="s">
        <v>96</v>
      </c>
      <c r="X14" s="43">
        <v>2.04</v>
      </c>
      <c r="Y14" s="27">
        <v>5.45</v>
      </c>
      <c r="Z14" s="34">
        <v>1.38</v>
      </c>
      <c r="AA14" s="34">
        <v>1.08</v>
      </c>
      <c r="AB14" s="34">
        <v>1.4</v>
      </c>
      <c r="AC14" s="30">
        <v>2.27</v>
      </c>
      <c r="AD14" s="30">
        <v>2.5299999999999998</v>
      </c>
      <c r="AE14" s="28">
        <v>1.69</v>
      </c>
      <c r="AF14" s="28">
        <v>1.72</v>
      </c>
      <c r="AG14" s="28">
        <v>1.21</v>
      </c>
      <c r="AH14" s="29">
        <v>0.76</v>
      </c>
      <c r="AI14" s="8"/>
      <c r="AJ14" s="8"/>
      <c r="AK14" s="35"/>
      <c r="AL14" s="8"/>
      <c r="AM14" s="35"/>
      <c r="AN14" s="20" t="s">
        <v>55</v>
      </c>
      <c r="AO14" s="8" t="s">
        <v>60</v>
      </c>
      <c r="AP14" s="44">
        <v>769</v>
      </c>
      <c r="AQ14" s="61" t="s">
        <v>102</v>
      </c>
      <c r="AR14" s="51">
        <v>1.7</v>
      </c>
      <c r="AS14" s="28">
        <v>0.87</v>
      </c>
      <c r="AT14" s="28">
        <v>1.3</v>
      </c>
      <c r="AU14" s="30">
        <v>2.59</v>
      </c>
      <c r="AV14" s="28">
        <v>1.71</v>
      </c>
      <c r="AW14" s="30">
        <v>2.44</v>
      </c>
      <c r="AX14" s="28">
        <v>0.54</v>
      </c>
      <c r="AY14" s="27">
        <v>3.6</v>
      </c>
      <c r="AZ14" s="30">
        <v>2.4300000000000002</v>
      </c>
      <c r="BA14" s="28">
        <v>1.46</v>
      </c>
      <c r="BB14" s="28">
        <v>4.0000000000000001E-3</v>
      </c>
    </row>
    <row r="15" spans="1:54" ht="18.75" x14ac:dyDescent="0.25">
      <c r="A15" s="45" t="s">
        <v>19</v>
      </c>
      <c r="B15" s="8"/>
      <c r="C15" s="41">
        <f t="shared" si="0"/>
        <v>1.7340000000000004</v>
      </c>
      <c r="D15" s="28">
        <v>0.6</v>
      </c>
      <c r="E15" s="28">
        <v>0.47</v>
      </c>
      <c r="F15" s="27">
        <v>3.75</v>
      </c>
      <c r="G15" s="28">
        <v>1.57</v>
      </c>
      <c r="H15" s="29">
        <v>0.33</v>
      </c>
      <c r="I15" s="28">
        <v>0.62</v>
      </c>
      <c r="J15" s="28">
        <v>1.73</v>
      </c>
      <c r="K15" s="28">
        <v>1.65</v>
      </c>
      <c r="L15" s="27">
        <v>4.1100000000000003</v>
      </c>
      <c r="M15" s="30">
        <v>2.5099999999999998</v>
      </c>
      <c r="N15" s="31">
        <f t="shared" si="1"/>
        <v>3.1262499999999998</v>
      </c>
      <c r="O15" s="27">
        <v>3.04</v>
      </c>
      <c r="P15" s="28">
        <v>1.26</v>
      </c>
      <c r="Q15" s="27">
        <v>3.82</v>
      </c>
      <c r="R15" s="27">
        <v>3.85</v>
      </c>
      <c r="S15" s="29">
        <v>1.78</v>
      </c>
      <c r="T15" s="30">
        <v>2.98</v>
      </c>
      <c r="U15" s="27">
        <v>5.0999999999999996</v>
      </c>
      <c r="V15" s="27">
        <v>3.18</v>
      </c>
      <c r="W15" s="58" t="s">
        <v>86</v>
      </c>
      <c r="X15" s="33">
        <v>3.07</v>
      </c>
      <c r="Y15" s="34">
        <v>1.26</v>
      </c>
      <c r="Z15" s="30">
        <v>2.38</v>
      </c>
      <c r="AA15" s="27">
        <v>3.79</v>
      </c>
      <c r="AB15" s="30">
        <v>2.5499999999999998</v>
      </c>
      <c r="AC15" s="27">
        <v>5.04</v>
      </c>
      <c r="AD15" s="27">
        <v>3</v>
      </c>
      <c r="AE15" s="27">
        <v>4.38</v>
      </c>
      <c r="AF15" s="28">
        <v>1.1100000000000001</v>
      </c>
      <c r="AG15" s="27">
        <v>3.86</v>
      </c>
      <c r="AH15" s="29">
        <v>1.92</v>
      </c>
      <c r="AI15" s="8"/>
      <c r="AJ15" s="8"/>
      <c r="AK15" s="35"/>
      <c r="AL15" s="8"/>
      <c r="AM15" s="19" t="s">
        <v>55</v>
      </c>
      <c r="AN15" s="20" t="s">
        <v>55</v>
      </c>
      <c r="AO15" s="8" t="s">
        <v>61</v>
      </c>
      <c r="AP15" s="44">
        <v>631</v>
      </c>
      <c r="AQ15" s="62" t="s">
        <v>95</v>
      </c>
      <c r="AR15" s="40">
        <v>2.13</v>
      </c>
      <c r="AS15" s="27">
        <v>3.34</v>
      </c>
      <c r="AT15" s="28">
        <v>1.82</v>
      </c>
      <c r="AU15" s="28">
        <v>0.99</v>
      </c>
      <c r="AV15" s="28">
        <v>1.37</v>
      </c>
      <c r="AW15" s="28">
        <v>1.91</v>
      </c>
      <c r="AX15" s="28">
        <v>0.9</v>
      </c>
      <c r="AY15" s="30">
        <v>2.35</v>
      </c>
      <c r="AZ15" s="27">
        <v>3.96</v>
      </c>
      <c r="BA15" s="27">
        <v>3.3</v>
      </c>
      <c r="BB15" s="28">
        <v>1.39</v>
      </c>
    </row>
    <row r="16" spans="1:54" ht="18.75" x14ac:dyDescent="0.25">
      <c r="A16" s="18" t="s">
        <v>25</v>
      </c>
      <c r="B16" s="8"/>
      <c r="C16" s="26">
        <f t="shared" si="0"/>
        <v>2.6639999999999997</v>
      </c>
      <c r="D16" s="52"/>
      <c r="E16" s="30">
        <v>2.0499999999999998</v>
      </c>
      <c r="F16" s="28">
        <v>0.7</v>
      </c>
      <c r="G16" s="52"/>
      <c r="H16" s="29">
        <v>0.51</v>
      </c>
      <c r="I16" s="27">
        <v>4.6500000000000004</v>
      </c>
      <c r="J16" s="27">
        <v>4.5599999999999996</v>
      </c>
      <c r="K16" s="27">
        <v>4.26</v>
      </c>
      <c r="L16" s="27">
        <v>4.79</v>
      </c>
      <c r="M16" s="27">
        <v>5.12</v>
      </c>
      <c r="N16" s="31">
        <f t="shared" si="1"/>
        <v>3.8337500000000002</v>
      </c>
      <c r="O16" s="27">
        <v>3.4</v>
      </c>
      <c r="P16" s="28">
        <v>0.26</v>
      </c>
      <c r="Q16" s="28">
        <v>1.02</v>
      </c>
      <c r="R16" s="27">
        <v>4.1399999999999997</v>
      </c>
      <c r="S16" s="27">
        <v>4.9000000000000004</v>
      </c>
      <c r="T16" s="27">
        <v>6.26</v>
      </c>
      <c r="U16" s="27">
        <v>5.21</v>
      </c>
      <c r="V16" s="27">
        <v>5.48</v>
      </c>
      <c r="W16" s="63" t="s">
        <v>83</v>
      </c>
      <c r="X16" s="33">
        <v>3.65</v>
      </c>
      <c r="Y16" s="34">
        <v>1.33</v>
      </c>
      <c r="Z16" s="27">
        <v>5.14</v>
      </c>
      <c r="AA16" s="30">
        <v>2.37</v>
      </c>
      <c r="AB16" s="27">
        <v>5.79</v>
      </c>
      <c r="AC16" s="27">
        <v>4.3</v>
      </c>
      <c r="AD16" s="27">
        <v>4.79</v>
      </c>
      <c r="AE16" s="28">
        <v>1.23</v>
      </c>
      <c r="AF16" s="27">
        <v>4.1900000000000004</v>
      </c>
      <c r="AG16" s="27">
        <v>5.0199999999999996</v>
      </c>
      <c r="AH16" s="29">
        <v>0.53</v>
      </c>
      <c r="AI16" s="8"/>
      <c r="AJ16" s="8"/>
      <c r="AK16" s="18" t="s">
        <v>53</v>
      </c>
      <c r="AL16" s="8"/>
      <c r="AM16" s="19" t="s">
        <v>55</v>
      </c>
      <c r="AN16" s="20" t="s">
        <v>55</v>
      </c>
      <c r="AO16" s="37" t="s">
        <v>60</v>
      </c>
      <c r="AP16" s="38">
        <v>229</v>
      </c>
      <c r="AQ16" s="42" t="s">
        <v>87</v>
      </c>
      <c r="AR16" s="40">
        <v>2.78</v>
      </c>
      <c r="AS16" s="28">
        <v>0.24</v>
      </c>
      <c r="AT16" s="28">
        <v>0.27</v>
      </c>
      <c r="AU16" s="28">
        <v>0.93</v>
      </c>
      <c r="AV16" s="28">
        <v>1.58</v>
      </c>
      <c r="AW16" s="27">
        <v>6.61</v>
      </c>
      <c r="AX16" s="49"/>
      <c r="AY16" s="30">
        <v>2.27</v>
      </c>
      <c r="AZ16" s="27">
        <v>7.68</v>
      </c>
      <c r="BA16" s="27">
        <v>8.07</v>
      </c>
      <c r="BB16" s="28">
        <v>0.16</v>
      </c>
    </row>
    <row r="17" spans="1:54" ht="18.75" x14ac:dyDescent="0.25">
      <c r="A17" s="45" t="s">
        <v>14</v>
      </c>
      <c r="B17" s="8"/>
      <c r="C17" s="31">
        <f t="shared" si="0"/>
        <v>3.0720000000000001</v>
      </c>
      <c r="D17" s="28">
        <v>1.86</v>
      </c>
      <c r="E17" s="28">
        <v>1.66</v>
      </c>
      <c r="F17" s="30">
        <v>2.4</v>
      </c>
      <c r="G17" s="27">
        <v>5.44</v>
      </c>
      <c r="H17" s="27">
        <v>5.65</v>
      </c>
      <c r="I17" s="30">
        <v>2.54</v>
      </c>
      <c r="J17" s="28">
        <v>0.69</v>
      </c>
      <c r="K17" s="27">
        <v>4.04</v>
      </c>
      <c r="L17" s="27">
        <v>4.3600000000000003</v>
      </c>
      <c r="M17" s="30">
        <v>2.08</v>
      </c>
      <c r="N17" s="31">
        <f t="shared" si="1"/>
        <v>3.17</v>
      </c>
      <c r="O17" s="30">
        <v>2.91</v>
      </c>
      <c r="P17" s="27">
        <v>3.52</v>
      </c>
      <c r="Q17" s="27">
        <v>4.6900000000000004</v>
      </c>
      <c r="R17" s="27">
        <v>4.93</v>
      </c>
      <c r="S17" s="29">
        <v>0.87</v>
      </c>
      <c r="T17" s="27">
        <v>4.51</v>
      </c>
      <c r="U17" s="30">
        <v>2.35</v>
      </c>
      <c r="V17" s="28">
        <v>1.58</v>
      </c>
      <c r="W17" s="30" t="s">
        <v>100</v>
      </c>
      <c r="X17" s="43">
        <v>2.75</v>
      </c>
      <c r="Y17" s="27">
        <v>3.46</v>
      </c>
      <c r="Z17" s="34">
        <v>1.37</v>
      </c>
      <c r="AA17" s="34">
        <v>1.51</v>
      </c>
      <c r="AB17" s="30">
        <v>2.93</v>
      </c>
      <c r="AC17" s="27">
        <v>4.5999999999999996</v>
      </c>
      <c r="AD17" s="30">
        <v>2.34</v>
      </c>
      <c r="AE17" s="30">
        <v>2.36</v>
      </c>
      <c r="AF17" s="30">
        <v>2.78</v>
      </c>
      <c r="AG17" s="27">
        <v>3.77</v>
      </c>
      <c r="AH17" s="30">
        <v>2.39</v>
      </c>
      <c r="AI17" s="8"/>
      <c r="AJ17" s="8"/>
      <c r="AK17" s="35"/>
      <c r="AL17" s="8"/>
      <c r="AM17" s="35"/>
      <c r="AN17" s="20" t="s">
        <v>55</v>
      </c>
      <c r="AO17" s="8" t="s">
        <v>60</v>
      </c>
      <c r="AP17" s="38">
        <v>148</v>
      </c>
      <c r="AQ17" s="64" t="s">
        <v>89</v>
      </c>
      <c r="AR17" s="40">
        <v>2.2999999999999998</v>
      </c>
      <c r="AS17" s="28">
        <v>0.02</v>
      </c>
      <c r="AT17" s="30">
        <v>2.5499999999999998</v>
      </c>
      <c r="AU17" s="27">
        <v>4.32</v>
      </c>
      <c r="AV17" s="27">
        <v>4.87</v>
      </c>
      <c r="AW17" s="27">
        <v>3.56</v>
      </c>
      <c r="AX17" s="28">
        <v>0.34</v>
      </c>
      <c r="AY17" s="30">
        <v>2.4</v>
      </c>
      <c r="AZ17" s="28">
        <v>1.37</v>
      </c>
      <c r="BA17" s="27">
        <v>3.52</v>
      </c>
      <c r="BB17" s="49"/>
    </row>
    <row r="18" spans="1:54" ht="18.75" x14ac:dyDescent="0.25">
      <c r="A18" s="45" t="s">
        <v>16</v>
      </c>
      <c r="B18" s="8"/>
      <c r="C18" s="41">
        <f t="shared" si="0"/>
        <v>0.66899999999999993</v>
      </c>
      <c r="D18" s="28">
        <v>0.01</v>
      </c>
      <c r="E18" s="52"/>
      <c r="F18" s="52"/>
      <c r="G18" s="28">
        <v>0.32</v>
      </c>
      <c r="H18" s="52"/>
      <c r="I18" s="52"/>
      <c r="J18" s="28">
        <v>0</v>
      </c>
      <c r="K18" s="52"/>
      <c r="L18" s="27">
        <v>3.02</v>
      </c>
      <c r="M18" s="27">
        <v>3.34</v>
      </c>
      <c r="N18" s="26">
        <f t="shared" si="1"/>
        <v>2.915</v>
      </c>
      <c r="O18" s="27">
        <v>3.59</v>
      </c>
      <c r="P18" s="28">
        <v>1.66</v>
      </c>
      <c r="Q18" s="27">
        <v>3.18</v>
      </c>
      <c r="R18" s="27">
        <v>3.11</v>
      </c>
      <c r="S18" s="29">
        <v>1.88</v>
      </c>
      <c r="T18" s="27">
        <v>3.28</v>
      </c>
      <c r="U18" s="27">
        <v>3.32</v>
      </c>
      <c r="V18" s="27">
        <v>3.3</v>
      </c>
      <c r="W18" s="65" t="s">
        <v>84</v>
      </c>
      <c r="X18" s="33">
        <v>3.27</v>
      </c>
      <c r="Y18" s="30">
        <v>2.35</v>
      </c>
      <c r="Z18" s="34">
        <v>0.93</v>
      </c>
      <c r="AA18" s="34">
        <v>1.71</v>
      </c>
      <c r="AB18" s="27">
        <v>3.8</v>
      </c>
      <c r="AC18" s="27">
        <v>3.55</v>
      </c>
      <c r="AD18" s="27">
        <v>3.42</v>
      </c>
      <c r="AE18" s="27">
        <v>3.08</v>
      </c>
      <c r="AF18" s="27">
        <v>3.6</v>
      </c>
      <c r="AG18" s="27">
        <v>10.49</v>
      </c>
      <c r="AH18" s="29">
        <v>0.21</v>
      </c>
      <c r="AI18" s="8"/>
      <c r="AJ18" s="8"/>
      <c r="AK18" s="35"/>
      <c r="AL18" s="8"/>
      <c r="AM18" s="19" t="s">
        <v>55</v>
      </c>
      <c r="AN18" s="20" t="s">
        <v>55</v>
      </c>
      <c r="AO18" s="8" t="s">
        <v>61</v>
      </c>
      <c r="AP18" s="66">
        <v>1058</v>
      </c>
      <c r="AQ18" s="67" t="s">
        <v>88</v>
      </c>
      <c r="AR18" s="40">
        <v>2.4700000000000002</v>
      </c>
      <c r="AS18" s="28">
        <v>0.28000000000000003</v>
      </c>
      <c r="AT18" s="28">
        <v>1.06</v>
      </c>
      <c r="AU18" s="27">
        <v>5.07</v>
      </c>
      <c r="AV18" s="27">
        <v>12.61</v>
      </c>
      <c r="AW18" s="27">
        <v>3.59</v>
      </c>
      <c r="AX18" s="28">
        <v>0.01</v>
      </c>
      <c r="AY18" s="28">
        <v>0.12</v>
      </c>
      <c r="AZ18" s="28">
        <v>7.0000000000000007E-2</v>
      </c>
      <c r="BA18" s="28">
        <v>0.38</v>
      </c>
      <c r="BB18" s="28">
        <v>1.66</v>
      </c>
    </row>
    <row r="19" spans="1:54" ht="18.75" x14ac:dyDescent="0.25">
      <c r="A19" s="18" t="s">
        <v>23</v>
      </c>
      <c r="B19" s="8"/>
      <c r="C19" s="41">
        <f t="shared" si="0"/>
        <v>1.353</v>
      </c>
      <c r="D19" s="28">
        <v>0.2</v>
      </c>
      <c r="E19" s="27">
        <v>3.31</v>
      </c>
      <c r="F19" s="28">
        <v>0.8</v>
      </c>
      <c r="G19" s="28">
        <v>0.77</v>
      </c>
      <c r="H19" s="29">
        <v>0.83</v>
      </c>
      <c r="I19" s="28">
        <v>0.41</v>
      </c>
      <c r="J19" s="28">
        <v>0.74</v>
      </c>
      <c r="K19" s="28">
        <v>1.0900000000000001</v>
      </c>
      <c r="L19" s="27">
        <v>3.55</v>
      </c>
      <c r="M19" s="28">
        <v>1.83</v>
      </c>
      <c r="N19" s="26">
        <f t="shared" si="1"/>
        <v>2.9499999999999997</v>
      </c>
      <c r="O19" s="30">
        <v>2.02</v>
      </c>
      <c r="P19" s="30">
        <v>2.3199999999999998</v>
      </c>
      <c r="Q19" s="30">
        <v>2.02</v>
      </c>
      <c r="R19" s="28">
        <v>1.94</v>
      </c>
      <c r="S19" s="29">
        <v>1.21</v>
      </c>
      <c r="T19" s="27">
        <v>6.49</v>
      </c>
      <c r="U19" s="27">
        <v>3.3</v>
      </c>
      <c r="V19" s="27">
        <v>4.3</v>
      </c>
      <c r="W19" s="68" t="s">
        <v>88</v>
      </c>
      <c r="X19" s="33">
        <v>3.37</v>
      </c>
      <c r="Y19" s="34">
        <v>1.67</v>
      </c>
      <c r="Z19" s="34">
        <v>1.48</v>
      </c>
      <c r="AA19" s="27">
        <v>3.81</v>
      </c>
      <c r="AB19" s="27">
        <v>3.77</v>
      </c>
      <c r="AC19" s="27">
        <v>3.73</v>
      </c>
      <c r="AD19" s="27">
        <v>5.33</v>
      </c>
      <c r="AE19" s="27">
        <v>5.34</v>
      </c>
      <c r="AF19" s="28">
        <v>1.67</v>
      </c>
      <c r="AG19" s="27">
        <v>4.1900000000000004</v>
      </c>
      <c r="AH19" s="29">
        <v>1.19</v>
      </c>
      <c r="AI19" s="8"/>
      <c r="AJ19" s="8"/>
      <c r="AK19" s="18" t="s">
        <v>53</v>
      </c>
      <c r="AL19" s="8"/>
      <c r="AM19" s="35"/>
      <c r="AN19" s="36"/>
      <c r="AO19" s="37" t="s">
        <v>60</v>
      </c>
      <c r="AP19" s="38">
        <v>236</v>
      </c>
      <c r="AQ19" s="69" t="s">
        <v>105</v>
      </c>
      <c r="AR19" s="51">
        <v>1.26</v>
      </c>
      <c r="AS19" s="28">
        <v>0.92</v>
      </c>
      <c r="AT19" s="28">
        <v>1.52</v>
      </c>
      <c r="AU19" s="30">
        <v>2.21</v>
      </c>
      <c r="AV19" s="30">
        <v>2.83</v>
      </c>
      <c r="AW19" s="28">
        <v>1.1100000000000001</v>
      </c>
      <c r="AX19" s="28">
        <v>0.27</v>
      </c>
      <c r="AY19" s="28">
        <v>1.32</v>
      </c>
      <c r="AZ19" s="28">
        <v>1.7</v>
      </c>
      <c r="BA19" s="28">
        <v>0.66</v>
      </c>
      <c r="BB19" s="49"/>
    </row>
    <row r="20" spans="1:54" ht="18.75" x14ac:dyDescent="0.25">
      <c r="A20" s="70" t="s">
        <v>9</v>
      </c>
      <c r="B20" s="8"/>
      <c r="C20" s="41">
        <f t="shared" si="0"/>
        <v>1.9019999999999999</v>
      </c>
      <c r="D20" s="28">
        <v>1.71</v>
      </c>
      <c r="E20" s="28">
        <v>0.52</v>
      </c>
      <c r="F20" s="28">
        <v>1.2</v>
      </c>
      <c r="G20" s="28">
        <v>1.83</v>
      </c>
      <c r="H20" s="29">
        <v>1.44</v>
      </c>
      <c r="I20" s="30">
        <v>2.0099999999999998</v>
      </c>
      <c r="J20" s="28">
        <v>1.77</v>
      </c>
      <c r="K20" s="28">
        <v>1.69</v>
      </c>
      <c r="L20" s="27">
        <v>4.05</v>
      </c>
      <c r="M20" s="30">
        <v>2.8</v>
      </c>
      <c r="N20" s="31">
        <f t="shared" si="1"/>
        <v>3.2737500000000002</v>
      </c>
      <c r="O20" s="27">
        <v>3.65</v>
      </c>
      <c r="P20" s="28">
        <v>1.88</v>
      </c>
      <c r="Q20" s="27">
        <v>4.2699999999999996</v>
      </c>
      <c r="R20" s="28">
        <v>0.74</v>
      </c>
      <c r="S20" s="30">
        <v>2.5</v>
      </c>
      <c r="T20" s="27">
        <v>4.53</v>
      </c>
      <c r="U20" s="27">
        <v>4.55</v>
      </c>
      <c r="V20" s="27">
        <v>4.07</v>
      </c>
      <c r="W20" s="46" t="s">
        <v>98</v>
      </c>
      <c r="X20" s="43">
        <v>2.95</v>
      </c>
      <c r="Y20" s="30">
        <v>2.68</v>
      </c>
      <c r="Z20" s="34">
        <v>1.06</v>
      </c>
      <c r="AA20" s="34">
        <v>0.44</v>
      </c>
      <c r="AB20" s="27">
        <v>4.1100000000000003</v>
      </c>
      <c r="AC20" s="27">
        <v>7.13</v>
      </c>
      <c r="AD20" s="30">
        <v>2.94</v>
      </c>
      <c r="AE20" s="27">
        <v>3.12</v>
      </c>
      <c r="AF20" s="28">
        <v>1.89</v>
      </c>
      <c r="AG20" s="27">
        <v>3.5</v>
      </c>
      <c r="AH20" s="29">
        <v>1.05</v>
      </c>
      <c r="AI20" s="8"/>
      <c r="AJ20" s="8"/>
      <c r="AK20" s="35"/>
      <c r="AL20" s="8"/>
      <c r="AM20" s="35"/>
      <c r="AN20" s="20" t="s">
        <v>55</v>
      </c>
      <c r="AO20" s="8" t="s">
        <v>60</v>
      </c>
      <c r="AP20" s="44">
        <v>779</v>
      </c>
      <c r="AQ20" s="28" t="s">
        <v>99</v>
      </c>
      <c r="AR20" s="51">
        <v>1.92</v>
      </c>
      <c r="AS20" s="28">
        <v>0.69</v>
      </c>
      <c r="AT20" s="28">
        <v>0.71</v>
      </c>
      <c r="AU20" s="30">
        <v>2.88</v>
      </c>
      <c r="AV20" s="30">
        <v>2.76</v>
      </c>
      <c r="AW20" s="27">
        <v>5.61</v>
      </c>
      <c r="AX20" s="28">
        <v>0.56000000000000005</v>
      </c>
      <c r="AY20" s="27">
        <v>3.74</v>
      </c>
      <c r="AZ20" s="28">
        <v>0.87</v>
      </c>
      <c r="BA20" s="28">
        <v>1.39</v>
      </c>
      <c r="BB20" s="28">
        <v>6.0000000000000001E-3</v>
      </c>
    </row>
    <row r="21" spans="1:54" ht="18.75" x14ac:dyDescent="0.25">
      <c r="A21" s="70" t="s">
        <v>4</v>
      </c>
      <c r="B21" s="8"/>
      <c r="C21" s="41">
        <f t="shared" si="0"/>
        <v>1.5850000000000002</v>
      </c>
      <c r="D21" s="52"/>
      <c r="E21" s="28">
        <v>1.66</v>
      </c>
      <c r="F21" s="28">
        <v>1.55</v>
      </c>
      <c r="G21" s="52"/>
      <c r="H21" s="29">
        <v>1.61</v>
      </c>
      <c r="I21" s="28">
        <v>0.28999999999999998</v>
      </c>
      <c r="J21" s="28">
        <v>1.74</v>
      </c>
      <c r="K21" s="28">
        <v>1.46</v>
      </c>
      <c r="L21" s="27">
        <v>3.23</v>
      </c>
      <c r="M21" s="27">
        <v>4.3099999999999996</v>
      </c>
      <c r="N21" s="31">
        <f t="shared" si="1"/>
        <v>3.6262499999999998</v>
      </c>
      <c r="O21" s="28">
        <v>0.13</v>
      </c>
      <c r="P21" s="28">
        <v>0.41</v>
      </c>
      <c r="Q21" s="28">
        <v>0.97</v>
      </c>
      <c r="R21" s="27">
        <v>13.24</v>
      </c>
      <c r="S21" s="27">
        <v>9.69</v>
      </c>
      <c r="T21" s="30">
        <v>2.62</v>
      </c>
      <c r="U21" s="28">
        <v>1.92</v>
      </c>
      <c r="V21" s="28">
        <v>0.03</v>
      </c>
      <c r="W21" s="53" t="s">
        <v>101</v>
      </c>
      <c r="X21" s="43">
        <v>2.7</v>
      </c>
      <c r="Y21" s="34">
        <v>1.92</v>
      </c>
      <c r="Z21" s="34">
        <v>0.11</v>
      </c>
      <c r="AA21" s="27">
        <v>12.16</v>
      </c>
      <c r="AB21" s="34">
        <v>1.42</v>
      </c>
      <c r="AC21" s="30">
        <v>2.4500000000000002</v>
      </c>
      <c r="AD21" s="34">
        <v>1</v>
      </c>
      <c r="AE21" s="28">
        <v>1.47</v>
      </c>
      <c r="AF21" s="28">
        <v>1.61</v>
      </c>
      <c r="AG21" s="27">
        <v>7.58</v>
      </c>
      <c r="AH21" s="49"/>
      <c r="AI21" s="8"/>
      <c r="AJ21" s="8"/>
      <c r="AK21" s="35"/>
      <c r="AL21" s="8"/>
      <c r="AM21" s="19" t="s">
        <v>55</v>
      </c>
      <c r="AN21" s="20" t="s">
        <v>55</v>
      </c>
      <c r="AO21" s="8" t="s">
        <v>60</v>
      </c>
      <c r="AP21" s="38">
        <v>105</v>
      </c>
      <c r="AQ21" s="71" t="s">
        <v>91</v>
      </c>
      <c r="AR21" s="40">
        <v>2.19</v>
      </c>
      <c r="AS21" s="28">
        <v>0.89</v>
      </c>
      <c r="AT21" s="28">
        <v>1.78</v>
      </c>
      <c r="AU21" s="28">
        <v>1.1399999999999999</v>
      </c>
      <c r="AV21" s="28">
        <v>0.31</v>
      </c>
      <c r="AW21" s="28">
        <v>0.59</v>
      </c>
      <c r="AX21" s="28">
        <v>0.19</v>
      </c>
      <c r="AY21" s="28">
        <v>1.76</v>
      </c>
      <c r="AZ21" s="30">
        <v>2.38</v>
      </c>
      <c r="BA21" s="27">
        <v>5.38</v>
      </c>
      <c r="BB21" s="27">
        <v>7.49</v>
      </c>
    </row>
    <row r="22" spans="1:54" ht="18.75" x14ac:dyDescent="0.25">
      <c r="A22" s="72" t="s">
        <v>3</v>
      </c>
      <c r="B22" s="8"/>
      <c r="C22" s="41">
        <f t="shared" si="0"/>
        <v>1.9730000000000001</v>
      </c>
      <c r="D22" s="28">
        <v>1.36</v>
      </c>
      <c r="E22" s="27">
        <v>7.02</v>
      </c>
      <c r="F22" s="27">
        <v>3.52</v>
      </c>
      <c r="G22" s="52"/>
      <c r="H22" s="52"/>
      <c r="I22" s="28">
        <v>0.05</v>
      </c>
      <c r="J22" s="30">
        <v>2.21</v>
      </c>
      <c r="K22" s="28">
        <v>0.14000000000000001</v>
      </c>
      <c r="L22" s="27">
        <v>5.23</v>
      </c>
      <c r="M22" s="28">
        <v>0.2</v>
      </c>
      <c r="N22" s="31">
        <f t="shared" si="1"/>
        <v>4.6387499999999999</v>
      </c>
      <c r="O22" s="27">
        <v>5.81</v>
      </c>
      <c r="P22" s="27">
        <v>4.57</v>
      </c>
      <c r="Q22" s="73"/>
      <c r="R22" s="28">
        <v>0.48</v>
      </c>
      <c r="S22" s="27">
        <v>3.85</v>
      </c>
      <c r="T22" s="27">
        <v>7.06</v>
      </c>
      <c r="U22" s="27">
        <v>9.06</v>
      </c>
      <c r="V22" s="27">
        <v>6.28</v>
      </c>
      <c r="W22" s="74" t="s">
        <v>82</v>
      </c>
      <c r="X22" s="33">
        <v>3.69</v>
      </c>
      <c r="Y22" s="34">
        <v>0.65</v>
      </c>
      <c r="Z22" s="34">
        <v>0.43</v>
      </c>
      <c r="AA22" s="27">
        <v>6.06</v>
      </c>
      <c r="AB22" s="27">
        <v>5.67</v>
      </c>
      <c r="AC22" s="27">
        <v>5.67</v>
      </c>
      <c r="AD22" s="75">
        <v>5.33</v>
      </c>
      <c r="AE22" s="27">
        <v>5.0999999999999996</v>
      </c>
      <c r="AF22" s="27">
        <v>3.98</v>
      </c>
      <c r="AG22" s="30">
        <v>2.04</v>
      </c>
      <c r="AH22" s="49"/>
      <c r="AI22" s="8"/>
      <c r="AJ22" s="8"/>
      <c r="AK22" s="18" t="s">
        <v>53</v>
      </c>
      <c r="AL22" s="8"/>
      <c r="AM22" s="19" t="s">
        <v>55</v>
      </c>
      <c r="AN22" s="20" t="s">
        <v>55</v>
      </c>
      <c r="AO22" s="37" t="s">
        <v>60</v>
      </c>
      <c r="AP22" s="38">
        <v>306</v>
      </c>
      <c r="AQ22" s="76" t="s">
        <v>83</v>
      </c>
      <c r="AR22" s="40">
        <v>2.85</v>
      </c>
      <c r="AS22" s="28">
        <v>0.4</v>
      </c>
      <c r="AT22" s="49"/>
      <c r="AU22" s="27">
        <v>6.1</v>
      </c>
      <c r="AV22" s="27">
        <v>4.8600000000000003</v>
      </c>
      <c r="AW22" s="27">
        <v>5.12</v>
      </c>
      <c r="AX22" s="49"/>
      <c r="AY22" s="28">
        <v>0.24</v>
      </c>
      <c r="AZ22" s="27">
        <v>4.96</v>
      </c>
      <c r="BA22" s="27">
        <v>6.71</v>
      </c>
      <c r="BB22" s="49"/>
    </row>
    <row r="23" spans="1:54" ht="18.75" x14ac:dyDescent="0.25">
      <c r="A23" s="70" t="s">
        <v>24</v>
      </c>
      <c r="B23" s="8"/>
      <c r="C23" s="41">
        <f t="shared" si="0"/>
        <v>1.4079999999999999</v>
      </c>
      <c r="D23" s="28">
        <v>0.11</v>
      </c>
      <c r="E23" s="28">
        <v>0.36</v>
      </c>
      <c r="F23" s="28">
        <v>0.34</v>
      </c>
      <c r="G23" s="28">
        <v>0.84</v>
      </c>
      <c r="H23" s="29">
        <v>0.64</v>
      </c>
      <c r="I23" s="30">
        <v>2.95</v>
      </c>
      <c r="J23" s="30">
        <v>2.48</v>
      </c>
      <c r="K23" s="28">
        <v>0.39</v>
      </c>
      <c r="L23" s="27">
        <v>3.61</v>
      </c>
      <c r="M23" s="30">
        <v>2.36</v>
      </c>
      <c r="N23" s="31">
        <f t="shared" si="1"/>
        <v>3.14</v>
      </c>
      <c r="O23" s="52"/>
      <c r="P23" s="27">
        <v>3.05</v>
      </c>
      <c r="Q23" s="27">
        <v>4.13</v>
      </c>
      <c r="R23" s="28">
        <v>1.17</v>
      </c>
      <c r="S23" s="29">
        <v>1.57</v>
      </c>
      <c r="T23" s="27">
        <v>3.48</v>
      </c>
      <c r="U23" s="27">
        <v>7.31</v>
      </c>
      <c r="V23" s="27">
        <v>4.41</v>
      </c>
      <c r="W23" s="67" t="s">
        <v>99</v>
      </c>
      <c r="X23" s="43">
        <v>2.88</v>
      </c>
      <c r="Y23" s="34">
        <v>0.03</v>
      </c>
      <c r="Z23" s="34">
        <v>0.46</v>
      </c>
      <c r="AA23" s="30">
        <v>2</v>
      </c>
      <c r="AB23" s="30">
        <v>2.2400000000000002</v>
      </c>
      <c r="AC23" s="27">
        <v>6.67</v>
      </c>
      <c r="AD23" s="27">
        <v>4.43</v>
      </c>
      <c r="AE23" s="27">
        <v>3.88</v>
      </c>
      <c r="AF23" s="28">
        <v>1.07</v>
      </c>
      <c r="AG23" s="27">
        <v>6.97</v>
      </c>
      <c r="AH23" s="29">
        <v>0.28000000000000003</v>
      </c>
      <c r="AI23" s="8"/>
      <c r="AJ23" s="8"/>
      <c r="AK23" s="35"/>
      <c r="AL23" s="8"/>
      <c r="AM23" s="19" t="s">
        <v>55</v>
      </c>
      <c r="AN23" s="20" t="s">
        <v>55</v>
      </c>
      <c r="AO23" s="8" t="s">
        <v>61</v>
      </c>
      <c r="AP23" s="44">
        <v>645</v>
      </c>
      <c r="AQ23" s="77" t="s">
        <v>86</v>
      </c>
      <c r="AR23" s="40">
        <v>2.14</v>
      </c>
      <c r="AS23" s="28">
        <v>1.94</v>
      </c>
      <c r="AT23" s="28">
        <v>1.24</v>
      </c>
      <c r="AU23" s="27">
        <v>3.6</v>
      </c>
      <c r="AV23" s="27">
        <v>3.76</v>
      </c>
      <c r="AW23" s="27">
        <v>3.37</v>
      </c>
      <c r="AX23" s="49"/>
      <c r="AY23" s="30">
        <v>2.09</v>
      </c>
      <c r="AZ23" s="27">
        <v>4.58</v>
      </c>
      <c r="BA23" s="28">
        <v>0.82</v>
      </c>
      <c r="BB23" s="78"/>
    </row>
    <row r="24" spans="1:54" ht="18.75" x14ac:dyDescent="0.25">
      <c r="A24" s="72" t="s">
        <v>2</v>
      </c>
      <c r="B24" s="8"/>
      <c r="C24" s="41">
        <f t="shared" si="0"/>
        <v>1.2230000000000001</v>
      </c>
      <c r="D24" s="28">
        <v>0.01</v>
      </c>
      <c r="E24" s="28">
        <v>0.79</v>
      </c>
      <c r="F24" s="28">
        <v>0.04</v>
      </c>
      <c r="G24" s="52"/>
      <c r="H24" s="29">
        <v>0.27</v>
      </c>
      <c r="I24" s="28">
        <v>1.1499999999999999</v>
      </c>
      <c r="J24" s="30">
        <v>2.46</v>
      </c>
      <c r="K24" s="30">
        <v>2.69</v>
      </c>
      <c r="L24" s="27">
        <v>3.44</v>
      </c>
      <c r="M24" s="28">
        <v>1.38</v>
      </c>
      <c r="N24" s="26">
        <f t="shared" si="1"/>
        <v>2.98</v>
      </c>
      <c r="O24" s="27">
        <v>3.04</v>
      </c>
      <c r="P24" s="30">
        <v>2.8</v>
      </c>
      <c r="Q24" s="28">
        <v>0.69</v>
      </c>
      <c r="R24" s="30">
        <v>2.81</v>
      </c>
      <c r="S24" s="29">
        <v>0.89</v>
      </c>
      <c r="T24" s="27">
        <v>4.0599999999999996</v>
      </c>
      <c r="U24" s="27">
        <v>4.2300000000000004</v>
      </c>
      <c r="V24" s="27">
        <v>5.32</v>
      </c>
      <c r="W24" s="79" t="s">
        <v>89</v>
      </c>
      <c r="X24" s="33">
        <v>3.23</v>
      </c>
      <c r="Y24" s="34">
        <v>0.24</v>
      </c>
      <c r="Z24" s="30">
        <v>2.42</v>
      </c>
      <c r="AA24" s="30">
        <v>2.52</v>
      </c>
      <c r="AB24" s="27">
        <v>3.61</v>
      </c>
      <c r="AC24" s="27">
        <v>3.83</v>
      </c>
      <c r="AD24" s="27">
        <v>5.03</v>
      </c>
      <c r="AE24" s="27">
        <v>3.87</v>
      </c>
      <c r="AF24" s="30">
        <v>2.58</v>
      </c>
      <c r="AG24" s="27">
        <v>4.45</v>
      </c>
      <c r="AH24" s="29">
        <v>0.95</v>
      </c>
      <c r="AI24" s="8"/>
      <c r="AJ24" s="8"/>
      <c r="AK24" s="18" t="s">
        <v>53</v>
      </c>
      <c r="AL24" s="8"/>
      <c r="AM24" s="35"/>
      <c r="AN24" s="35"/>
      <c r="AO24" s="37" t="s">
        <v>60</v>
      </c>
      <c r="AP24" s="44">
        <v>742</v>
      </c>
      <c r="AQ24" s="60" t="s">
        <v>97</v>
      </c>
      <c r="AR24" s="40">
        <v>2.0299999999999998</v>
      </c>
      <c r="AS24" s="28">
        <v>1.74</v>
      </c>
      <c r="AT24" s="28">
        <v>1.6</v>
      </c>
      <c r="AU24" s="30">
        <v>2.4</v>
      </c>
      <c r="AV24" s="27">
        <v>3.38</v>
      </c>
      <c r="AW24" s="28">
        <v>0.42</v>
      </c>
      <c r="AX24" s="28">
        <v>0.97</v>
      </c>
      <c r="AY24" s="28">
        <v>1.45</v>
      </c>
      <c r="AZ24" s="27">
        <v>4.29</v>
      </c>
      <c r="BA24" s="30">
        <v>2.98</v>
      </c>
      <c r="BB24" s="28">
        <v>1.1200000000000001</v>
      </c>
    </row>
    <row r="25" spans="1:54" ht="18.75" x14ac:dyDescent="0.25">
      <c r="A25" s="70" t="s">
        <v>5</v>
      </c>
      <c r="B25" s="8"/>
      <c r="C25" s="41">
        <f t="shared" si="0"/>
        <v>1.222</v>
      </c>
      <c r="D25" s="28">
        <v>0.11</v>
      </c>
      <c r="E25" s="28">
        <v>1.05</v>
      </c>
      <c r="F25" s="28">
        <v>0.33</v>
      </c>
      <c r="G25" s="28">
        <v>0.8</v>
      </c>
      <c r="H25" s="29">
        <v>0.24</v>
      </c>
      <c r="I25" s="30">
        <v>2.27</v>
      </c>
      <c r="J25" s="28">
        <v>1.84</v>
      </c>
      <c r="K25" s="28">
        <v>0.88</v>
      </c>
      <c r="L25" s="27">
        <v>3.77</v>
      </c>
      <c r="M25" s="28">
        <v>0.93</v>
      </c>
      <c r="N25" s="31">
        <f t="shared" si="1"/>
        <v>2.9962499999999999</v>
      </c>
      <c r="O25" s="30">
        <v>2.14</v>
      </c>
      <c r="P25" s="28">
        <v>1.2</v>
      </c>
      <c r="Q25" s="27">
        <v>3.27</v>
      </c>
      <c r="R25" s="28">
        <v>1.74</v>
      </c>
      <c r="S25" s="29">
        <v>1.52</v>
      </c>
      <c r="T25" s="27">
        <v>4.37</v>
      </c>
      <c r="U25" s="27">
        <v>6.77</v>
      </c>
      <c r="V25" s="28">
        <v>2.96</v>
      </c>
      <c r="W25" s="80" t="s">
        <v>91</v>
      </c>
      <c r="X25" s="33">
        <v>3.16</v>
      </c>
      <c r="Y25" s="34">
        <v>0.24</v>
      </c>
      <c r="Z25" s="34">
        <v>0.59</v>
      </c>
      <c r="AA25" s="34">
        <v>1.01</v>
      </c>
      <c r="AB25" s="27">
        <v>4.43</v>
      </c>
      <c r="AC25" s="30">
        <v>2.11</v>
      </c>
      <c r="AD25" s="34">
        <v>1.72</v>
      </c>
      <c r="AE25" s="28">
        <v>1.48</v>
      </c>
      <c r="AF25" s="30">
        <v>2.48</v>
      </c>
      <c r="AG25" s="27">
        <v>12.33</v>
      </c>
      <c r="AH25" s="29">
        <v>1.03</v>
      </c>
      <c r="AI25" s="8"/>
      <c r="AJ25" s="8"/>
      <c r="AK25" s="35"/>
      <c r="AL25" s="8"/>
      <c r="AM25" s="19" t="s">
        <v>55</v>
      </c>
      <c r="AN25" s="20" t="s">
        <v>55</v>
      </c>
      <c r="AO25" s="8" t="s">
        <v>61</v>
      </c>
      <c r="AP25" s="66">
        <v>1038</v>
      </c>
      <c r="AQ25" s="81" t="s">
        <v>103</v>
      </c>
      <c r="AR25" s="51">
        <v>1.66</v>
      </c>
      <c r="AS25" s="30">
        <v>2.67</v>
      </c>
      <c r="AT25" s="30">
        <v>2.83</v>
      </c>
      <c r="AU25" s="27">
        <v>5.53</v>
      </c>
      <c r="AV25" s="27">
        <v>4.37</v>
      </c>
      <c r="AW25" s="28">
        <v>0.36</v>
      </c>
      <c r="AX25" s="28">
        <v>0</v>
      </c>
      <c r="AY25" s="28">
        <v>0.28999999999999998</v>
      </c>
      <c r="AZ25" s="28">
        <v>0.47</v>
      </c>
      <c r="BA25" s="28">
        <v>7.0000000000000007E-2</v>
      </c>
      <c r="BB25" s="78"/>
    </row>
    <row r="26" spans="1:54" ht="18.75" x14ac:dyDescent="0.25">
      <c r="A26" s="72" t="s">
        <v>21</v>
      </c>
      <c r="B26" s="8"/>
      <c r="C26" s="41">
        <f t="shared" si="0"/>
        <v>0.75800000000000001</v>
      </c>
      <c r="D26" s="28">
        <v>0.38</v>
      </c>
      <c r="E26" s="28">
        <v>0.83</v>
      </c>
      <c r="F26" s="28">
        <v>0.22</v>
      </c>
      <c r="G26" s="28">
        <v>0.32</v>
      </c>
      <c r="H26" s="52"/>
      <c r="I26" s="28">
        <v>0.4</v>
      </c>
      <c r="J26" s="28">
        <v>0.83</v>
      </c>
      <c r="K26" s="28">
        <v>0.42</v>
      </c>
      <c r="L26" s="27">
        <v>3.07</v>
      </c>
      <c r="M26" s="28">
        <v>1.1100000000000001</v>
      </c>
      <c r="N26" s="26">
        <f t="shared" si="1"/>
        <v>2.1525000000000003</v>
      </c>
      <c r="O26" s="27">
        <v>3.18</v>
      </c>
      <c r="P26" s="28">
        <v>1.17</v>
      </c>
      <c r="Q26" s="28">
        <v>1.4</v>
      </c>
      <c r="R26" s="28">
        <v>1.76</v>
      </c>
      <c r="S26" s="29">
        <v>1.92</v>
      </c>
      <c r="T26" s="28">
        <v>1.32</v>
      </c>
      <c r="U26" s="30">
        <v>2.62</v>
      </c>
      <c r="V26" s="27">
        <v>3.85</v>
      </c>
      <c r="W26" s="53" t="s">
        <v>103</v>
      </c>
      <c r="X26" s="43">
        <v>2.54</v>
      </c>
      <c r="Y26" s="34">
        <v>0.43</v>
      </c>
      <c r="Z26" s="34">
        <v>1.89</v>
      </c>
      <c r="AA26" s="34">
        <v>0.49</v>
      </c>
      <c r="AB26" s="34">
        <v>1.56</v>
      </c>
      <c r="AC26" s="27">
        <v>3.18</v>
      </c>
      <c r="AD26" s="30">
        <v>2.2400000000000002</v>
      </c>
      <c r="AE26" s="27">
        <v>4.71</v>
      </c>
      <c r="AF26" s="27">
        <v>5.07</v>
      </c>
      <c r="AG26" s="30">
        <v>2.75</v>
      </c>
      <c r="AH26" s="27">
        <v>3.41</v>
      </c>
      <c r="AI26" s="8"/>
      <c r="AJ26" s="8"/>
      <c r="AK26" s="18" t="s">
        <v>53</v>
      </c>
      <c r="AL26" s="8"/>
      <c r="AM26" s="35"/>
      <c r="AN26" s="36"/>
      <c r="AO26" s="37" t="s">
        <v>59</v>
      </c>
      <c r="AP26" s="38">
        <v>386</v>
      </c>
      <c r="AQ26" s="29" t="s">
        <v>100</v>
      </c>
      <c r="AR26" s="51">
        <v>1.89</v>
      </c>
      <c r="AS26" s="28">
        <v>0.77</v>
      </c>
      <c r="AT26" s="28">
        <v>1.3</v>
      </c>
      <c r="AU26" s="30">
        <v>2.2000000000000002</v>
      </c>
      <c r="AV26" s="27">
        <v>5.8</v>
      </c>
      <c r="AW26" s="28">
        <v>0.41</v>
      </c>
      <c r="AX26" s="49"/>
      <c r="AY26" s="28">
        <v>1.42</v>
      </c>
      <c r="AZ26" s="27">
        <v>7</v>
      </c>
      <c r="BA26" s="28">
        <v>0.05</v>
      </c>
      <c r="BB26" s="78"/>
    </row>
    <row r="27" spans="1:54" ht="18.75" x14ac:dyDescent="0.25">
      <c r="A27" s="70" t="s">
        <v>22</v>
      </c>
      <c r="B27" s="8"/>
      <c r="C27" s="41">
        <f t="shared" si="0"/>
        <v>1.5960000000000001</v>
      </c>
      <c r="D27" s="28">
        <v>0.1</v>
      </c>
      <c r="E27" s="28">
        <v>1.31</v>
      </c>
      <c r="F27" s="27">
        <v>4.75</v>
      </c>
      <c r="G27" s="28">
        <v>0.93</v>
      </c>
      <c r="H27" s="29">
        <v>0.63</v>
      </c>
      <c r="I27" s="28">
        <v>0.92</v>
      </c>
      <c r="J27" s="28">
        <v>1.79</v>
      </c>
      <c r="K27" s="28">
        <v>0.8</v>
      </c>
      <c r="L27" s="30">
        <v>2.0699999999999998</v>
      </c>
      <c r="M27" s="30">
        <v>2.66</v>
      </c>
      <c r="N27" s="41">
        <f t="shared" si="1"/>
        <v>1.8425</v>
      </c>
      <c r="O27" s="30">
        <v>2.91</v>
      </c>
      <c r="P27" s="28">
        <v>0.33</v>
      </c>
      <c r="Q27" s="28">
        <v>1.31</v>
      </c>
      <c r="R27" s="27">
        <v>3.03</v>
      </c>
      <c r="S27" s="29">
        <v>0.81</v>
      </c>
      <c r="T27" s="30">
        <v>2.08</v>
      </c>
      <c r="U27" s="30">
        <v>2.67</v>
      </c>
      <c r="V27" s="28">
        <v>1.6</v>
      </c>
      <c r="W27" s="62" t="s">
        <v>94</v>
      </c>
      <c r="X27" s="43">
        <v>2.23</v>
      </c>
      <c r="Y27" s="30">
        <v>2.85</v>
      </c>
      <c r="Z27" s="34">
        <v>1.22</v>
      </c>
      <c r="AA27" s="34">
        <v>0.04</v>
      </c>
      <c r="AB27" s="34">
        <v>1.46</v>
      </c>
      <c r="AC27" s="30">
        <v>2.14</v>
      </c>
      <c r="AD27" s="30">
        <v>2.77</v>
      </c>
      <c r="AE27" s="30">
        <v>2.2999999999999998</v>
      </c>
      <c r="AF27" s="30">
        <v>2.75</v>
      </c>
      <c r="AG27" s="27">
        <v>3.66</v>
      </c>
      <c r="AH27" s="29">
        <v>1.76</v>
      </c>
      <c r="AI27" s="8"/>
      <c r="AJ27" s="8"/>
      <c r="AK27" s="35"/>
      <c r="AL27" s="8"/>
      <c r="AM27" s="19" t="s">
        <v>55</v>
      </c>
      <c r="AN27" s="20" t="s">
        <v>55</v>
      </c>
      <c r="AO27" s="8" t="s">
        <v>61</v>
      </c>
      <c r="AP27" s="44">
        <v>968</v>
      </c>
      <c r="AQ27" s="59" t="s">
        <v>104</v>
      </c>
      <c r="AR27" s="51">
        <v>1.59</v>
      </c>
      <c r="AS27" s="28">
        <v>0.74</v>
      </c>
      <c r="AT27" s="28">
        <v>0.49</v>
      </c>
      <c r="AU27" s="30">
        <v>2.13</v>
      </c>
      <c r="AV27" s="27">
        <v>3.2</v>
      </c>
      <c r="AW27" s="30">
        <v>2.58</v>
      </c>
      <c r="AX27" s="28">
        <v>0.48</v>
      </c>
      <c r="AY27" s="28">
        <v>1.24</v>
      </c>
      <c r="AZ27" s="27">
        <v>3.2</v>
      </c>
      <c r="BA27" s="28">
        <v>1.92</v>
      </c>
      <c r="BB27" s="28">
        <v>0.15</v>
      </c>
    </row>
    <row r="28" spans="1:54" ht="18.75" x14ac:dyDescent="0.25">
      <c r="A28" s="70" t="s">
        <v>1</v>
      </c>
      <c r="B28" s="8"/>
      <c r="C28" s="52"/>
      <c r="D28" s="52"/>
      <c r="E28" s="52"/>
      <c r="F28" s="5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22"/>
      <c r="AI28" s="8"/>
      <c r="AJ28" s="8"/>
      <c r="AK28" s="35"/>
      <c r="AL28" s="8"/>
      <c r="AM28" s="19" t="s">
        <v>55</v>
      </c>
      <c r="AN28" s="20" t="s">
        <v>55</v>
      </c>
      <c r="AO28" s="8" t="s">
        <v>59</v>
      </c>
      <c r="AP28" s="38">
        <v>249</v>
      </c>
      <c r="AQ28" s="8"/>
      <c r="AR28" s="51"/>
      <c r="AS28" s="22"/>
      <c r="AT28" s="22"/>
      <c r="AU28" s="22"/>
      <c r="AV28" s="22"/>
      <c r="AW28" s="22"/>
      <c r="AX28" s="22"/>
      <c r="AY28" s="22"/>
      <c r="AZ28" s="22"/>
      <c r="BA28" s="22"/>
      <c r="BB28" s="83"/>
    </row>
    <row r="29" spans="1:54" ht="18.75" x14ac:dyDescent="0.25">
      <c r="A29" s="70" t="s">
        <v>20</v>
      </c>
      <c r="B29" s="8"/>
      <c r="C29" s="84">
        <f t="shared" si="0"/>
        <v>1.427</v>
      </c>
      <c r="D29" s="8">
        <v>0.68</v>
      </c>
      <c r="E29" s="30">
        <v>2.2400000000000002</v>
      </c>
      <c r="F29" s="30">
        <v>2.15</v>
      </c>
      <c r="G29" s="52"/>
      <c r="H29" s="29">
        <v>0.49</v>
      </c>
      <c r="I29" s="28">
        <v>0.97</v>
      </c>
      <c r="J29" s="28">
        <v>1.33</v>
      </c>
      <c r="K29" s="28">
        <v>1.76</v>
      </c>
      <c r="L29" s="30">
        <v>2.81</v>
      </c>
      <c r="M29" s="28">
        <v>1.84</v>
      </c>
      <c r="N29" s="26">
        <f t="shared" si="1"/>
        <v>2.0362499999999999</v>
      </c>
      <c r="O29" s="27">
        <v>3.68</v>
      </c>
      <c r="P29" s="28">
        <v>1.26</v>
      </c>
      <c r="Q29" s="28">
        <v>1.03</v>
      </c>
      <c r="R29" s="30">
        <v>2.4</v>
      </c>
      <c r="S29" s="29">
        <v>0.97</v>
      </c>
      <c r="T29" s="30">
        <v>2.12</v>
      </c>
      <c r="U29" s="27">
        <v>3.45</v>
      </c>
      <c r="V29" s="28">
        <v>1.38</v>
      </c>
      <c r="W29" s="29" t="s">
        <v>105</v>
      </c>
      <c r="X29" s="85">
        <v>1.9</v>
      </c>
      <c r="Y29" s="34">
        <v>1.97</v>
      </c>
      <c r="Z29" s="34">
        <v>1.42</v>
      </c>
      <c r="AA29" s="34">
        <v>1.56</v>
      </c>
      <c r="AB29" s="30">
        <v>2.08</v>
      </c>
      <c r="AC29" s="34">
        <v>1.83</v>
      </c>
      <c r="AD29" s="30">
        <v>2.69</v>
      </c>
      <c r="AE29" s="30">
        <v>2.19</v>
      </c>
      <c r="AF29" s="28">
        <v>1.42</v>
      </c>
      <c r="AG29" s="30">
        <v>2.4300000000000002</v>
      </c>
      <c r="AH29" s="29">
        <v>1.45</v>
      </c>
      <c r="AI29" s="8"/>
      <c r="AJ29" s="8"/>
      <c r="AK29" s="35"/>
      <c r="AL29" s="8"/>
      <c r="AM29" s="19" t="s">
        <v>55</v>
      </c>
      <c r="AN29" s="20" t="s">
        <v>55</v>
      </c>
      <c r="AO29" s="8" t="s">
        <v>61</v>
      </c>
      <c r="AP29" s="44">
        <v>902</v>
      </c>
      <c r="AQ29" s="69" t="s">
        <v>96</v>
      </c>
      <c r="AR29" s="51">
        <v>1.28</v>
      </c>
      <c r="AS29" s="28">
        <v>1.78</v>
      </c>
      <c r="AT29" s="28">
        <v>1.05</v>
      </c>
      <c r="AU29" s="30">
        <v>2.2200000000000002</v>
      </c>
      <c r="AV29" s="28">
        <v>1.8</v>
      </c>
      <c r="AW29" s="30">
        <v>2.5299999999999998</v>
      </c>
      <c r="AX29" s="28">
        <v>1.97</v>
      </c>
      <c r="AY29" s="28">
        <v>0.8</v>
      </c>
      <c r="AZ29" s="28">
        <v>0.49</v>
      </c>
      <c r="BA29" s="28">
        <v>0.02</v>
      </c>
      <c r="BB29" s="28">
        <v>2E-3</v>
      </c>
    </row>
    <row r="31" spans="1:54" ht="18.75" x14ac:dyDescent="0.25">
      <c r="AF31" s="5" t="s">
        <v>62</v>
      </c>
      <c r="AG31" s="5"/>
      <c r="AH31" s="5"/>
      <c r="AI31" s="5"/>
      <c r="AJ31" s="5"/>
      <c r="AK31" s="5"/>
      <c r="AL31" s="5"/>
      <c r="AM31" s="5"/>
      <c r="AR31" s="5" t="s">
        <v>62</v>
      </c>
      <c r="AS31" s="91"/>
      <c r="AT31" s="91"/>
      <c r="AU31" s="91"/>
    </row>
    <row r="32" spans="1:54" ht="18.75" x14ac:dyDescent="0.25">
      <c r="AF32" s="86"/>
      <c r="AG32" s="87" t="s">
        <v>64</v>
      </c>
      <c r="AH32" s="3" t="s">
        <v>63</v>
      </c>
      <c r="AI32" s="3"/>
      <c r="AJ32" s="3"/>
      <c r="AK32" s="3"/>
      <c r="AL32" s="3"/>
      <c r="AM32" s="3"/>
      <c r="AR32" s="38"/>
      <c r="AS32" s="92" t="s">
        <v>71</v>
      </c>
      <c r="AT32" s="92"/>
      <c r="AU32" s="92"/>
    </row>
    <row r="33" spans="32:47" ht="18.75" x14ac:dyDescent="0.25">
      <c r="AF33" s="88"/>
      <c r="AG33" s="87" t="s">
        <v>65</v>
      </c>
      <c r="AH33" s="3" t="s">
        <v>66</v>
      </c>
      <c r="AI33" s="3"/>
      <c r="AJ33" s="3"/>
      <c r="AK33" s="3"/>
      <c r="AL33" s="3"/>
      <c r="AM33" s="3"/>
      <c r="AR33" s="44"/>
      <c r="AS33" s="92" t="s">
        <v>72</v>
      </c>
      <c r="AT33" s="92"/>
      <c r="AU33" s="92"/>
    </row>
    <row r="34" spans="32:47" ht="18.75" x14ac:dyDescent="0.25">
      <c r="AF34" s="89"/>
      <c r="AG34" s="87" t="s">
        <v>67</v>
      </c>
      <c r="AH34" s="3" t="s">
        <v>68</v>
      </c>
      <c r="AI34" s="3"/>
      <c r="AJ34" s="3"/>
      <c r="AK34" s="3"/>
      <c r="AL34" s="3"/>
      <c r="AM34" s="3"/>
      <c r="AR34" s="66"/>
      <c r="AS34" s="92" t="s">
        <v>73</v>
      </c>
      <c r="AT34" s="92"/>
      <c r="AU34" s="92"/>
    </row>
    <row r="35" spans="32:47" ht="15.75" x14ac:dyDescent="0.25">
      <c r="AF35" s="90"/>
      <c r="AG35" s="87" t="s">
        <v>69</v>
      </c>
      <c r="AH35" s="3" t="s">
        <v>70</v>
      </c>
      <c r="AI35" s="3"/>
      <c r="AJ35" s="3"/>
      <c r="AK35" s="3"/>
      <c r="AL35" s="3"/>
      <c r="AM35" s="3"/>
    </row>
  </sheetData>
  <sortState xmlns:xlrd2="http://schemas.microsoft.com/office/spreadsheetml/2017/richdata2" ref="A4:BB29">
    <sortCondition descending="1" ref="AR4:AR29"/>
  </sortState>
  <mergeCells count="17">
    <mergeCell ref="W2:W3"/>
    <mergeCell ref="A1:A3"/>
    <mergeCell ref="AQ2:AQ3"/>
    <mergeCell ref="E1:L1"/>
    <mergeCell ref="AH35:AM35"/>
    <mergeCell ref="AF31:AM31"/>
    <mergeCell ref="AK1:BB1"/>
    <mergeCell ref="AO2:AP2"/>
    <mergeCell ref="O1:U1"/>
    <mergeCell ref="AR31:AU31"/>
    <mergeCell ref="AS32:AU32"/>
    <mergeCell ref="AS33:AU33"/>
    <mergeCell ref="AS34:AU34"/>
    <mergeCell ref="AH32:AM32"/>
    <mergeCell ref="AH33:AM33"/>
    <mergeCell ref="AH34:AM34"/>
    <mergeCell ref="Z1:A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Aparecida Pieruchi</dc:creator>
  <cp:lastModifiedBy>Davi Antonino Nunes Da Silva</cp:lastModifiedBy>
  <dcterms:created xsi:type="dcterms:W3CDTF">2024-05-27T21:49:39Z</dcterms:created>
  <dcterms:modified xsi:type="dcterms:W3CDTF">2025-12-18T15:30:36Z</dcterms:modified>
</cp:coreProperties>
</file>
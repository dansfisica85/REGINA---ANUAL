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.pieruchi\Desktop\"/>
    </mc:Choice>
  </mc:AlternateContent>
  <xr:revisionPtr revIDLastSave="0" documentId="13_ncr:1_{8F6CC01B-B56F-4283-926C-16607D5F1DD5}" xr6:coauthVersionLast="47" xr6:coauthVersionMax="47" xr10:uidLastSave="{00000000-0000-0000-0000-000000000000}"/>
  <bookViews>
    <workbookView xWindow="-120" yWindow="-120" windowWidth="29040" windowHeight="1584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4" i="1"/>
</calcChain>
</file>

<file path=xl/sharedStrings.xml><?xml version="1.0" encoding="utf-8"?>
<sst xmlns="http://schemas.openxmlformats.org/spreadsheetml/2006/main" count="232" uniqueCount="147">
  <si>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</si>
  <si>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</si>
  <si>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</si>
  <si>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</si>
  <si>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</si>
  <si>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</si>
  <si>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</si>
  <si>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</si>
  <si>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</si>
  <si>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</si>
  <si>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</si>
  <si>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</si>
  <si>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</si>
  <si>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</si>
  <si>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</si>
  <si>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</si>
  <si>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</si>
  <si>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</si>
  <si>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</si>
  <si>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</si>
  <si>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</si>
  <si>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</si>
  <si>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</si>
  <si>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</si>
  <si>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</si>
  <si>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</si>
  <si>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</si>
  <si>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</si>
  <si>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</si>
  <si>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</si>
  <si>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</si>
  <si>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</si>
  <si>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</si>
  <si>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1º BIM</t>
  </si>
  <si>
    <t>3°BIM</t>
  </si>
  <si>
    <t>3º 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</si>
  <si>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</si>
  <si>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</si>
  <si>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</si>
  <si>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</si>
  <si>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</si>
  <si>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</si>
  <si>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</si>
  <si>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</si>
  <si>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</si>
  <si>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</si>
  <si>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</si>
  <si>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</si>
  <si>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</si>
  <si>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</si>
  <si>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</si>
  <si>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</si>
  <si>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</si>
  <si>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</si>
  <si>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INSATISFATÓRIO</t>
  </si>
  <si>
    <t>REGULAR</t>
  </si>
  <si>
    <t>SATISFATÓRIO</t>
  </si>
  <si>
    <t>EXCELENTE</t>
  </si>
  <si>
    <t>DE 1 À 499 ALUNOS</t>
  </si>
  <si>
    <t>DE 500 À 999 ALUNOS</t>
  </si>
  <si>
    <t>DE 1000 PARA CIMA</t>
  </si>
  <si>
    <t>0,0 À 5,9</t>
  </si>
  <si>
    <t>6,0 À 6,9</t>
  </si>
  <si>
    <t>7,1 À 8,9</t>
  </si>
  <si>
    <t>9,0 À 10</t>
  </si>
  <si>
    <t xml:space="preserve"> BI REDAÇÃO 2025 - DA SEMANA 01 ATÉ 10 - 1º BIMESTRE</t>
  </si>
  <si>
    <t>Classificação</t>
  </si>
  <si>
    <t>1°</t>
  </si>
  <si>
    <t>2°</t>
  </si>
  <si>
    <t>3°</t>
  </si>
  <si>
    <t>8°</t>
  </si>
  <si>
    <t>7°</t>
  </si>
  <si>
    <t>5°</t>
  </si>
  <si>
    <t>4°</t>
  </si>
  <si>
    <t>9°</t>
  </si>
  <si>
    <t>6°</t>
  </si>
  <si>
    <t>10°</t>
  </si>
  <si>
    <t>11°</t>
  </si>
  <si>
    <t>12°</t>
  </si>
  <si>
    <t>13°</t>
  </si>
  <si>
    <t>14°</t>
  </si>
  <si>
    <t xml:space="preserve"> S 11</t>
  </si>
  <si>
    <t>S 12</t>
  </si>
  <si>
    <t>S13</t>
  </si>
  <si>
    <t>S 14</t>
  </si>
  <si>
    <t>S15</t>
  </si>
  <si>
    <t>S16</t>
  </si>
  <si>
    <t>S17</t>
  </si>
  <si>
    <t>S18</t>
  </si>
  <si>
    <t>Propos</t>
  </si>
  <si>
    <t>UM</t>
  </si>
  <si>
    <t>DOIS</t>
  </si>
  <si>
    <t>TRÊS</t>
  </si>
  <si>
    <t>S19</t>
  </si>
  <si>
    <t>S20</t>
  </si>
  <si>
    <t>QUATRO</t>
  </si>
  <si>
    <t>2º BIM</t>
  </si>
  <si>
    <t xml:space="preserve"> BI REDAÇÃO 2025 - DA SEMANA 11 ATÉ  21 - 2º BIMESTRE</t>
  </si>
  <si>
    <t>CLASSIFICAÇÃO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</si>
  <si>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</si>
  <si>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</si>
  <si>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</si>
  <si>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</si>
  <si>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</si>
  <si>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</si>
  <si>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</si>
  <si>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</si>
  <si>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</si>
  <si>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</si>
  <si>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15º</t>
  </si>
  <si>
    <t>22º</t>
  </si>
  <si>
    <t>23º</t>
  </si>
  <si>
    <t>18º</t>
  </si>
  <si>
    <t>14º</t>
  </si>
  <si>
    <t>11º</t>
  </si>
  <si>
    <t>12º</t>
  </si>
  <si>
    <t>13º</t>
  </si>
  <si>
    <t>16º</t>
  </si>
  <si>
    <t>17º</t>
  </si>
  <si>
    <t>19º</t>
  </si>
  <si>
    <t>20º</t>
  </si>
  <si>
    <t>21º</t>
  </si>
  <si>
    <t>24º</t>
  </si>
  <si>
    <t>25º</t>
  </si>
  <si>
    <t>S 27</t>
  </si>
  <si>
    <t>S 28</t>
  </si>
  <si>
    <t>S 29</t>
  </si>
  <si>
    <t>S30</t>
  </si>
  <si>
    <t>S 31</t>
  </si>
  <si>
    <t>S 32</t>
  </si>
  <si>
    <t>S33</t>
  </si>
  <si>
    <t>S34</t>
  </si>
  <si>
    <t>BI REDAÇÃO 3° BIM SEMANA 27 ATÉA 34</t>
  </si>
  <si>
    <t>S35</t>
  </si>
  <si>
    <t>S 36</t>
  </si>
  <si>
    <t>Plataforma SUPER BI da semana 35  até a</t>
  </si>
  <si>
    <t>S 37</t>
  </si>
  <si>
    <t>S 38</t>
  </si>
  <si>
    <t>S 39</t>
  </si>
  <si>
    <t>S 40</t>
  </si>
  <si>
    <t>S 41</t>
  </si>
  <si>
    <t>S42</t>
  </si>
  <si>
    <t>S43</t>
  </si>
  <si>
    <t>S44</t>
  </si>
  <si>
    <t xml:space="preserve">MÉDIA </t>
  </si>
  <si>
    <t>4º BIM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</si>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</sst>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rgb="FFCC6600"/>
      <name val="Calibri"/>
      <family val="2"/>
      <scheme val="minor"/>
    </font>
    <font>
      <b/>
      <sz val="14"/>
      <color rgb="FF9933FF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66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20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6" fontId="3" fillId="7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vertical="center"/>
    </xf>
    <xf numFmtId="16" fontId="3" fillId="9" borderId="5" xfId="0" applyNumberFormat="1" applyFont="1" applyFill="1" applyBorder="1" applyAlignment="1">
      <alignment horizontal="center" vertical="center"/>
    </xf>
    <xf numFmtId="16" fontId="3" fillId="6" borderId="5" xfId="0" applyNumberFormat="1" applyFont="1" applyFill="1" applyBorder="1" applyAlignment="1">
      <alignment horizontal="center" vertical="center"/>
    </xf>
    <xf numFmtId="16" fontId="3" fillId="8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3" fillId="22" borderId="5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3" fillId="23" borderId="5" xfId="0" applyFont="1" applyFill="1" applyBorder="1" applyAlignment="1">
      <alignment horizontal="center" vertical="center"/>
    </xf>
    <xf numFmtId="0" fontId="3" fillId="24" borderId="5" xfId="0" applyFont="1" applyFill="1" applyBorder="1" applyAlignment="1">
      <alignment horizontal="center" vertical="center"/>
    </xf>
    <xf numFmtId="0" fontId="3" fillId="25" borderId="5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horizontal="center" vertical="center"/>
    </xf>
    <xf numFmtId="0" fontId="3" fillId="29" borderId="5" xfId="0" applyFont="1" applyFill="1" applyBorder="1" applyAlignment="1">
      <alignment horizontal="center" vertical="center"/>
    </xf>
    <xf numFmtId="0" fontId="3" fillId="30" borderId="5" xfId="0" applyFont="1" applyFill="1" applyBorder="1" applyAlignment="1">
      <alignment horizontal="center" vertical="center"/>
    </xf>
    <xf numFmtId="0" fontId="3" fillId="31" borderId="5" xfId="0" applyFont="1" applyFill="1" applyBorder="1" applyAlignment="1">
      <alignment horizontal="center" vertical="center"/>
    </xf>
    <xf numFmtId="0" fontId="3" fillId="32" borderId="5" xfId="0" applyFont="1" applyFill="1" applyBorder="1" applyAlignment="1">
      <alignment horizontal="center" vertical="center"/>
    </xf>
    <xf numFmtId="0" fontId="3" fillId="33" borderId="5" xfId="0" applyFont="1" applyFill="1" applyBorder="1" applyAlignment="1">
      <alignment horizontal="center" vertical="center"/>
    </xf>
    <xf numFmtId="0" fontId="3" fillId="34" borderId="5" xfId="0" applyFont="1" applyFill="1" applyBorder="1" applyAlignment="1">
      <alignment horizontal="center" vertical="center"/>
    </xf>
    <xf numFmtId="0" fontId="3" fillId="35" borderId="5" xfId="0" applyFont="1" applyFill="1" applyBorder="1" applyAlignment="1">
      <alignment horizontal="center" vertical="center"/>
    </xf>
    <xf numFmtId="0" fontId="3" fillId="36" borderId="5" xfId="0" applyFont="1" applyFill="1" applyBorder="1" applyAlignment="1">
      <alignment horizontal="center" vertical="center"/>
    </xf>
    <xf numFmtId="0" fontId="3" fillId="37" borderId="5" xfId="0" applyFont="1" applyFill="1" applyBorder="1" applyAlignment="1">
      <alignment horizontal="center" vertical="center"/>
    </xf>
    <xf numFmtId="0" fontId="3" fillId="38" borderId="5" xfId="0" applyFont="1" applyFill="1" applyBorder="1" applyAlignment="1">
      <alignment horizontal="center" vertical="center"/>
    </xf>
    <xf numFmtId="0" fontId="3" fillId="39" borderId="5" xfId="0" applyFont="1" applyFill="1" applyBorder="1" applyAlignment="1">
      <alignment horizontal="center" vertical="center"/>
    </xf>
    <xf numFmtId="0" fontId="3" fillId="40" borderId="5" xfId="0" applyFont="1" applyFill="1" applyBorder="1" applyAlignment="1">
      <alignment horizontal="center" vertical="center"/>
    </xf>
    <xf numFmtId="0" fontId="3" fillId="41" borderId="5" xfId="0" applyFont="1" applyFill="1" applyBorder="1" applyAlignment="1">
      <alignment horizontal="center" vertical="center"/>
    </xf>
    <xf numFmtId="2" fontId="3" fillId="10" borderId="5" xfId="0" applyNumberFormat="1" applyFont="1" applyFill="1" applyBorder="1" applyAlignment="1">
      <alignment horizontal="center" vertical="center"/>
    </xf>
    <xf numFmtId="2" fontId="13" fillId="10" borderId="5" xfId="0" applyNumberFormat="1" applyFont="1" applyFill="1" applyBorder="1" applyAlignment="1">
      <alignment horizontal="center" vertical="center"/>
    </xf>
    <xf numFmtId="2" fontId="14" fillId="10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FF6600"/>
      <color rgb="FFFF9900"/>
      <color rgb="FFCCFFCC"/>
      <color rgb="FFCCFF99"/>
      <color rgb="FF99FFCC"/>
      <color rgb="FF99FF99"/>
      <color rgb="FF66FF99"/>
      <color rgb="FF66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E36"/>
  <sheetViews>
    <sheetView tabSelected="1" workbookViewId="0">
      <pane xSplit="1" topLeftCell="B1" activePane="topRight" state="frozen"/>
      <selection pane="topRight" activeCell="B13" sqref="B13"/>
    </sheetView>
  </sheetViews>
  <sheetFormatPr defaultRowHeight="15" x14ac:dyDescent="0.25"/>
  <cols>
    <col min="1" max="1" width="38.85546875" style="1" bestFit="1" customWidth="1"/>
    <col min="2" max="8" width="10.28515625" style="1" customWidth="1"/>
    <col min="9" max="9" width="9.42578125" style="1" customWidth="1"/>
    <col min="10" max="12" width="9.28515625" style="1" bestFit="1" customWidth="1"/>
    <col min="13" max="13" width="9.42578125" style="1" customWidth="1"/>
    <col min="14" max="17" width="9.42578125" style="1" bestFit="1" customWidth="1"/>
    <col min="18" max="21" width="9.28515625" style="1" bestFit="1" customWidth="1"/>
    <col min="22" max="22" width="9.7109375" style="1" bestFit="1" customWidth="1"/>
    <col min="23" max="23" width="10.7109375" style="1" customWidth="1"/>
    <col min="24" max="24" width="10.85546875" style="1" customWidth="1"/>
    <col min="25" max="25" width="9.7109375" style="1" customWidth="1"/>
    <col min="26" max="30" width="9.7109375" style="1" bestFit="1" customWidth="1"/>
    <col min="31" max="31" width="9.7109375" style="1" customWidth="1"/>
    <col min="32" max="34" width="9.7109375" style="1" bestFit="1" customWidth="1"/>
    <col min="35" max="35" width="9" style="1" bestFit="1" customWidth="1"/>
    <col min="36" max="36" width="0.140625" style="1" customWidth="1"/>
    <col min="37" max="37" width="9.140625" style="1" hidden="1" customWidth="1"/>
    <col min="38" max="38" width="4.42578125" style="1" customWidth="1"/>
    <col min="39" max="39" width="16.42578125" style="1" hidden="1" customWidth="1"/>
    <col min="40" max="40" width="6.28515625" style="1" customWidth="1"/>
    <col min="41" max="41" width="6" style="1" customWidth="1"/>
    <col min="42" max="42" width="8.28515625" style="1" customWidth="1"/>
    <col min="43" max="44" width="13.85546875" style="1" customWidth="1"/>
    <col min="45" max="45" width="8.7109375" style="1"/>
    <col min="46" max="46" width="9.140625" style="1"/>
    <col min="47" max="48" width="8.7109375" style="1"/>
    <col min="49" max="49" width="9.7109375" style="1" bestFit="1" customWidth="1"/>
    <col min="50" max="51" width="9.7109375" style="1" customWidth="1"/>
    <col min="52" max="53" width="9.7109375" style="1" bestFit="1" customWidth="1"/>
    <col min="54" max="54" width="10.5703125" style="1" customWidth="1"/>
    <col min="55" max="56" width="8.7109375" style="1"/>
  </cols>
  <sheetData>
    <row r="1" spans="1:57" ht="22.5" thickTop="1" thickBot="1" x14ac:dyDescent="0.3">
      <c r="A1" s="75" t="s">
        <v>0</v>
      </c>
      <c r="B1" s="23" t="s">
        <v>144</v>
      </c>
      <c r="C1" s="18" t="s">
        <v>36</v>
      </c>
      <c r="D1" s="18"/>
      <c r="E1" s="76" t="s">
        <v>135</v>
      </c>
      <c r="F1" s="76"/>
      <c r="G1" s="76"/>
      <c r="H1" s="76"/>
      <c r="I1" s="76"/>
      <c r="J1" s="76"/>
      <c r="K1" s="76"/>
      <c r="L1" s="76"/>
      <c r="M1" s="18" t="s">
        <v>36</v>
      </c>
      <c r="N1" s="19" t="s">
        <v>34</v>
      </c>
      <c r="O1" s="76" t="s">
        <v>132</v>
      </c>
      <c r="P1" s="76"/>
      <c r="Q1" s="76"/>
      <c r="R1" s="76"/>
      <c r="S1" s="76"/>
      <c r="T1" s="76"/>
      <c r="U1" s="76"/>
      <c r="V1" s="20" t="s">
        <v>35</v>
      </c>
      <c r="W1" s="2"/>
      <c r="X1" s="24" t="s">
        <v>96</v>
      </c>
      <c r="Y1" s="77" t="s">
        <v>97</v>
      </c>
      <c r="Z1" s="78"/>
      <c r="AA1" s="78"/>
      <c r="AB1" s="78"/>
      <c r="AC1" s="78"/>
      <c r="AD1" s="78"/>
      <c r="AE1" s="78"/>
      <c r="AF1" s="78"/>
      <c r="AG1" s="78"/>
      <c r="AH1" s="78"/>
      <c r="AI1" s="79"/>
      <c r="AJ1" s="21"/>
      <c r="AK1" s="22"/>
      <c r="AL1" s="73" t="s">
        <v>65</v>
      </c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</row>
    <row r="2" spans="1:57" ht="20.25" thickTop="1" thickBot="1" x14ac:dyDescent="0.3">
      <c r="A2" s="75"/>
      <c r="B2" s="23"/>
      <c r="C2" s="23" t="s">
        <v>144</v>
      </c>
      <c r="D2" s="23" t="s">
        <v>143</v>
      </c>
      <c r="E2" s="23" t="s">
        <v>142</v>
      </c>
      <c r="F2" s="23" t="s">
        <v>141</v>
      </c>
      <c r="G2" s="23" t="s">
        <v>140</v>
      </c>
      <c r="H2" s="23" t="s">
        <v>139</v>
      </c>
      <c r="I2" s="23" t="s">
        <v>138</v>
      </c>
      <c r="J2" s="23" t="s">
        <v>137</v>
      </c>
      <c r="K2" s="23" t="s">
        <v>136</v>
      </c>
      <c r="L2" s="23" t="s">
        <v>134</v>
      </c>
      <c r="M2" s="23" t="s">
        <v>133</v>
      </c>
      <c r="N2" s="20" t="s">
        <v>41</v>
      </c>
      <c r="O2" s="20" t="s">
        <v>131</v>
      </c>
      <c r="P2" s="20" t="s">
        <v>130</v>
      </c>
      <c r="Q2" s="20" t="s">
        <v>129</v>
      </c>
      <c r="R2" s="20" t="s">
        <v>128</v>
      </c>
      <c r="S2" s="20" t="s">
        <v>127</v>
      </c>
      <c r="T2" s="20" t="s">
        <v>126</v>
      </c>
      <c r="U2" s="20" t="s">
        <v>125</v>
      </c>
      <c r="V2" s="20" t="s">
        <v>124</v>
      </c>
      <c r="W2" s="80" t="s">
        <v>98</v>
      </c>
      <c r="X2" s="23" t="s">
        <v>89</v>
      </c>
      <c r="Y2" s="24" t="s">
        <v>94</v>
      </c>
      <c r="Z2" s="24" t="s">
        <v>93</v>
      </c>
      <c r="AA2" s="24" t="s">
        <v>88</v>
      </c>
      <c r="AB2" s="24" t="s">
        <v>87</v>
      </c>
      <c r="AC2" s="24" t="s">
        <v>86</v>
      </c>
      <c r="AD2" s="24" t="s">
        <v>85</v>
      </c>
      <c r="AE2" s="23" t="s">
        <v>89</v>
      </c>
      <c r="AF2" s="25" t="s">
        <v>84</v>
      </c>
      <c r="AG2" s="25" t="s">
        <v>83</v>
      </c>
      <c r="AH2" s="25" t="s">
        <v>82</v>
      </c>
      <c r="AI2" s="25" t="s">
        <v>81</v>
      </c>
      <c r="AJ2" s="24"/>
      <c r="AK2" s="24"/>
      <c r="AL2" s="6" t="s">
        <v>43</v>
      </c>
      <c r="AM2" s="2"/>
      <c r="AN2" s="26" t="s">
        <v>47</v>
      </c>
      <c r="AO2" s="9" t="s">
        <v>45</v>
      </c>
      <c r="AP2" s="27" t="s">
        <v>48</v>
      </c>
      <c r="AQ2" s="27"/>
      <c r="AR2" s="74" t="s">
        <v>66</v>
      </c>
      <c r="AS2" s="3" t="s">
        <v>41</v>
      </c>
      <c r="AT2" s="23" t="s">
        <v>89</v>
      </c>
      <c r="AU2" s="21" t="s">
        <v>32</v>
      </c>
      <c r="AV2" s="21" t="s">
        <v>31</v>
      </c>
      <c r="AW2" s="21" t="s">
        <v>30</v>
      </c>
      <c r="AX2" s="21" t="s">
        <v>29</v>
      </c>
      <c r="AY2" s="21" t="s">
        <v>28</v>
      </c>
      <c r="AZ2" s="23" t="s">
        <v>89</v>
      </c>
      <c r="BA2" s="21" t="s">
        <v>40</v>
      </c>
      <c r="BB2" s="21" t="s">
        <v>27</v>
      </c>
      <c r="BC2" s="21" t="s">
        <v>39</v>
      </c>
      <c r="BD2" s="21" t="s">
        <v>38</v>
      </c>
      <c r="BE2" s="21" t="s">
        <v>37</v>
      </c>
    </row>
    <row r="3" spans="1:57" ht="20.25" thickTop="1" thickBot="1" x14ac:dyDescent="0.3">
      <c r="A3" s="75"/>
      <c r="B3" s="28" t="s">
        <v>146</v>
      </c>
      <c r="C3" s="28" t="s">
        <v>145</v>
      </c>
      <c r="D3" s="28">
        <v>45997</v>
      </c>
      <c r="E3" s="28">
        <v>45990</v>
      </c>
      <c r="F3" s="28">
        <v>45983</v>
      </c>
      <c r="G3" s="28">
        <v>45976</v>
      </c>
      <c r="H3" s="28">
        <v>45969</v>
      </c>
      <c r="I3" s="28">
        <v>45962</v>
      </c>
      <c r="J3" s="28">
        <v>45955</v>
      </c>
      <c r="K3" s="28">
        <v>45948</v>
      </c>
      <c r="L3" s="28">
        <v>45941</v>
      </c>
      <c r="M3" s="28">
        <v>45934</v>
      </c>
      <c r="N3" s="29" t="s">
        <v>34</v>
      </c>
      <c r="O3" s="29">
        <v>45927</v>
      </c>
      <c r="P3" s="29">
        <v>45920</v>
      </c>
      <c r="Q3" s="29">
        <v>45913</v>
      </c>
      <c r="R3" s="29">
        <v>45906</v>
      </c>
      <c r="S3" s="29">
        <v>45899</v>
      </c>
      <c r="T3" s="29">
        <v>45892</v>
      </c>
      <c r="U3" s="29">
        <v>45885</v>
      </c>
      <c r="V3" s="29">
        <v>45878</v>
      </c>
      <c r="W3" s="81"/>
      <c r="X3" s="28" t="s">
        <v>95</v>
      </c>
      <c r="Y3" s="25">
        <v>45829</v>
      </c>
      <c r="Z3" s="25">
        <v>45822</v>
      </c>
      <c r="AA3" s="25">
        <v>45815</v>
      </c>
      <c r="AB3" s="25">
        <v>45808</v>
      </c>
      <c r="AC3" s="25">
        <v>45801</v>
      </c>
      <c r="AD3" s="25">
        <v>45794</v>
      </c>
      <c r="AE3" s="28" t="s">
        <v>92</v>
      </c>
      <c r="AF3" s="25">
        <v>45787</v>
      </c>
      <c r="AG3" s="25">
        <v>45780</v>
      </c>
      <c r="AH3" s="25">
        <v>45773</v>
      </c>
      <c r="AI3" s="25">
        <v>45764</v>
      </c>
      <c r="AJ3" s="25">
        <v>45416</v>
      </c>
      <c r="AK3" s="25">
        <v>45409</v>
      </c>
      <c r="AL3" s="2"/>
      <c r="AM3" s="2"/>
      <c r="AN3" s="2"/>
      <c r="AO3" s="2"/>
      <c r="AP3" s="2" t="s">
        <v>49</v>
      </c>
      <c r="AQ3" s="2" t="s">
        <v>42</v>
      </c>
      <c r="AR3" s="74"/>
      <c r="AS3" s="3" t="s">
        <v>33</v>
      </c>
      <c r="AT3" s="23" t="s">
        <v>91</v>
      </c>
      <c r="AU3" s="30">
        <v>45759</v>
      </c>
      <c r="AV3" s="30">
        <v>45752</v>
      </c>
      <c r="AW3" s="30">
        <v>45745</v>
      </c>
      <c r="AX3" s="30">
        <v>45738</v>
      </c>
      <c r="AY3" s="30">
        <v>45731</v>
      </c>
      <c r="AZ3" s="28" t="s">
        <v>90</v>
      </c>
      <c r="BA3" s="30">
        <v>45724</v>
      </c>
      <c r="BB3" s="30">
        <v>45717</v>
      </c>
      <c r="BC3" s="30">
        <v>45710</v>
      </c>
      <c r="BD3" s="30">
        <v>45703</v>
      </c>
      <c r="BE3" s="30">
        <v>45696</v>
      </c>
    </row>
    <row r="4" spans="1:57" ht="20.25" thickTop="1" thickBot="1" x14ac:dyDescent="0.3">
      <c r="A4" s="43" t="s">
        <v>1</v>
      </c>
      <c r="B4" s="72"/>
      <c r="C4" s="72">
        <v>0.79</v>
      </c>
      <c r="D4" s="33">
        <v>0.80500000000000005</v>
      </c>
      <c r="E4" s="33">
        <v>0.84</v>
      </c>
      <c r="F4" s="34">
        <v>0.74199999999999999</v>
      </c>
      <c r="G4" s="34">
        <v>0.755</v>
      </c>
      <c r="H4" s="34">
        <v>0.748</v>
      </c>
      <c r="I4" s="33">
        <v>0.81799999999999995</v>
      </c>
      <c r="J4" s="33">
        <v>0.82199999999999995</v>
      </c>
      <c r="K4" s="34">
        <v>0.754</v>
      </c>
      <c r="L4" s="33">
        <v>0.80700000000000005</v>
      </c>
      <c r="M4" s="33">
        <v>0.80700000000000005</v>
      </c>
      <c r="N4" s="71">
        <f>SUM(O4:V4)/8</f>
        <v>0.95012499999999989</v>
      </c>
      <c r="O4" s="33">
        <v>0.88300000000000001</v>
      </c>
      <c r="P4" s="33">
        <v>1.129</v>
      </c>
      <c r="Q4" s="33">
        <v>1.6259999999999999</v>
      </c>
      <c r="R4" s="33">
        <v>1.4390000000000001</v>
      </c>
      <c r="S4" s="33">
        <v>1.024</v>
      </c>
      <c r="T4" s="33">
        <v>0.89</v>
      </c>
      <c r="U4" s="34">
        <v>0.59799999999999998</v>
      </c>
      <c r="V4" s="35">
        <v>1.2E-2</v>
      </c>
      <c r="W4" s="67" t="s">
        <v>121</v>
      </c>
      <c r="X4" s="34">
        <v>0.78300000000000003</v>
      </c>
      <c r="Y4" s="45">
        <v>0.35</v>
      </c>
      <c r="Z4" s="45">
        <v>0.126</v>
      </c>
      <c r="AA4" s="45">
        <v>0.154</v>
      </c>
      <c r="AB4" s="45">
        <v>0.14199999999999999</v>
      </c>
      <c r="AC4" s="45">
        <v>0.14599999999999999</v>
      </c>
      <c r="AD4" s="45">
        <v>0.56100000000000005</v>
      </c>
      <c r="AE4" s="33">
        <v>1.232</v>
      </c>
      <c r="AF4" s="45">
        <v>0.36399999999999999</v>
      </c>
      <c r="AG4" s="45">
        <v>3.9E-2</v>
      </c>
      <c r="AH4" s="34">
        <v>0.755</v>
      </c>
      <c r="AI4" s="33">
        <v>1.2569999999999999</v>
      </c>
      <c r="AJ4" s="2"/>
      <c r="AK4" s="2"/>
      <c r="AL4" s="4"/>
      <c r="AM4" s="2"/>
      <c r="AN4" s="26" t="s">
        <v>46</v>
      </c>
      <c r="AO4" s="9" t="s">
        <v>46</v>
      </c>
      <c r="AP4" s="2" t="s">
        <v>50</v>
      </c>
      <c r="AQ4" s="32">
        <v>249</v>
      </c>
      <c r="AR4" s="2" t="s">
        <v>67</v>
      </c>
      <c r="AS4" s="5">
        <v>7.4</v>
      </c>
      <c r="AT4" s="49">
        <v>1.0980000000000001</v>
      </c>
      <c r="AU4" s="33">
        <v>1.119</v>
      </c>
      <c r="AV4" s="33">
        <v>0.93700000000000006</v>
      </c>
      <c r="AW4" s="33">
        <v>0.82899999999999996</v>
      </c>
      <c r="AX4" s="33">
        <v>1.3129999999999999</v>
      </c>
      <c r="AY4" s="34">
        <v>0.78200000000000003</v>
      </c>
      <c r="AZ4" s="34">
        <v>0.67100000000000004</v>
      </c>
      <c r="BA4" s="34">
        <v>0.69</v>
      </c>
      <c r="BB4" s="34">
        <v>0.69</v>
      </c>
      <c r="BC4" s="34">
        <v>0.496</v>
      </c>
      <c r="BD4" s="35"/>
      <c r="BE4" s="35"/>
    </row>
    <row r="5" spans="1:57" ht="20.25" thickTop="1" thickBot="1" x14ac:dyDescent="0.3">
      <c r="A5" s="43" t="s">
        <v>4</v>
      </c>
      <c r="B5" s="71"/>
      <c r="C5" s="71">
        <v>0.88</v>
      </c>
      <c r="D5" s="33">
        <v>1.2569999999999999</v>
      </c>
      <c r="E5" s="33">
        <v>1.2190000000000001</v>
      </c>
      <c r="F5" s="34">
        <v>0.73299999999999998</v>
      </c>
      <c r="G5" s="34">
        <v>0.73299999999999998</v>
      </c>
      <c r="H5" s="34">
        <v>0.73299999999999998</v>
      </c>
      <c r="I5" s="34">
        <v>0.66700000000000004</v>
      </c>
      <c r="J5" s="33">
        <v>0.85699999999999998</v>
      </c>
      <c r="K5" s="33">
        <v>0.86699999999999999</v>
      </c>
      <c r="L5" s="33">
        <v>0.84799999999999998</v>
      </c>
      <c r="M5" s="33">
        <v>0.83799999999999997</v>
      </c>
      <c r="N5" s="72">
        <f t="shared" ref="N5:N29" si="0">SUM(O5:V5)/8</f>
        <v>0.56337499999999996</v>
      </c>
      <c r="O5" s="35">
        <v>0.29799999999999999</v>
      </c>
      <c r="P5" s="33">
        <v>0.82699999999999996</v>
      </c>
      <c r="Q5" s="33">
        <v>0.83799999999999997</v>
      </c>
      <c r="R5" s="33">
        <v>0.84799999999999998</v>
      </c>
      <c r="S5" s="33">
        <v>0.84799999999999998</v>
      </c>
      <c r="T5" s="33">
        <v>0.84799999999999998</v>
      </c>
      <c r="U5" s="35"/>
      <c r="V5" s="35"/>
      <c r="W5" s="56" t="s">
        <v>106</v>
      </c>
      <c r="X5" s="33">
        <v>0.96299999999999997</v>
      </c>
      <c r="Y5" s="45">
        <v>0.159</v>
      </c>
      <c r="Z5" s="45">
        <v>3.6999999999999998E-2</v>
      </c>
      <c r="AA5" s="45">
        <v>3.6999999999999998E-2</v>
      </c>
      <c r="AB5" s="45">
        <v>0.66400000000000003</v>
      </c>
      <c r="AC5" s="45">
        <v>4.7E-2</v>
      </c>
      <c r="AD5" s="45">
        <v>5.6000000000000001E-2</v>
      </c>
      <c r="AE5" s="33">
        <v>0.83199999999999996</v>
      </c>
      <c r="AF5" s="45">
        <v>4.8000000000000001E-2</v>
      </c>
      <c r="AG5" s="45">
        <v>0.66300000000000003</v>
      </c>
      <c r="AH5" s="34">
        <v>0.54800000000000004</v>
      </c>
      <c r="AI5" s="34">
        <v>0.52400000000000002</v>
      </c>
      <c r="AJ5" s="2"/>
      <c r="AK5" s="2"/>
      <c r="AL5" s="4"/>
      <c r="AM5" s="2"/>
      <c r="AN5" s="26" t="s">
        <v>46</v>
      </c>
      <c r="AO5" s="9" t="s">
        <v>46</v>
      </c>
      <c r="AP5" s="2" t="s">
        <v>51</v>
      </c>
      <c r="AQ5" s="32">
        <v>105</v>
      </c>
      <c r="AR5" s="2" t="s">
        <v>67</v>
      </c>
      <c r="AS5" s="5">
        <v>7.4</v>
      </c>
      <c r="AT5" s="50">
        <v>0.69199999999999995</v>
      </c>
      <c r="AU5" s="34">
        <v>0.70499999999999996</v>
      </c>
      <c r="AV5" s="33">
        <v>0.98099999999999998</v>
      </c>
      <c r="AW5" s="33">
        <v>1.181</v>
      </c>
      <c r="AX5" s="33">
        <v>0.99</v>
      </c>
      <c r="AY5" s="33">
        <v>0.99</v>
      </c>
      <c r="AZ5" s="34">
        <v>0.72899999999999998</v>
      </c>
      <c r="BA5" s="34">
        <v>0.74299999999999999</v>
      </c>
      <c r="BB5" s="34">
        <v>0.41899999999999998</v>
      </c>
      <c r="BC5" s="36"/>
      <c r="BD5" s="35"/>
      <c r="BE5" s="35"/>
    </row>
    <row r="6" spans="1:57" ht="20.25" thickTop="1" thickBot="1" x14ac:dyDescent="0.3">
      <c r="A6" s="6" t="s">
        <v>7</v>
      </c>
      <c r="B6" s="71"/>
      <c r="C6" s="71">
        <v>1.02</v>
      </c>
      <c r="D6" s="34">
        <v>0.73899999999999999</v>
      </c>
      <c r="E6" s="33">
        <v>0.88600000000000001</v>
      </c>
      <c r="F6" s="33">
        <v>1.0289999999999999</v>
      </c>
      <c r="G6" s="33">
        <v>1.032</v>
      </c>
      <c r="H6" s="33">
        <v>1.022</v>
      </c>
      <c r="I6" s="33">
        <v>0.99</v>
      </c>
      <c r="J6" s="33">
        <v>1.071</v>
      </c>
      <c r="K6" s="33">
        <v>1.113</v>
      </c>
      <c r="L6" s="33">
        <v>1.141</v>
      </c>
      <c r="M6" s="33">
        <v>1.1850000000000001</v>
      </c>
      <c r="N6" s="71">
        <f t="shared" si="0"/>
        <v>0.91350000000000009</v>
      </c>
      <c r="O6" s="33">
        <v>1.2410000000000001</v>
      </c>
      <c r="P6" s="33">
        <v>1.2290000000000001</v>
      </c>
      <c r="Q6" s="33">
        <v>1.2130000000000001</v>
      </c>
      <c r="R6" s="33">
        <v>1.212</v>
      </c>
      <c r="S6" s="33">
        <v>0.94499999999999995</v>
      </c>
      <c r="T6" s="34">
        <v>0.755</v>
      </c>
      <c r="U6" s="34">
        <v>0.48299999999999998</v>
      </c>
      <c r="V6" s="35">
        <v>0.23</v>
      </c>
      <c r="W6" s="64" t="s">
        <v>117</v>
      </c>
      <c r="X6" s="33">
        <v>0.86599999999999999</v>
      </c>
      <c r="Y6" s="45">
        <v>0.25700000000000001</v>
      </c>
      <c r="Z6" s="45">
        <v>0.21</v>
      </c>
      <c r="AA6" s="45">
        <v>0.19400000000000001</v>
      </c>
      <c r="AB6" s="45">
        <v>0.20499999999999999</v>
      </c>
      <c r="AC6" s="45">
        <v>0.19700000000000001</v>
      </c>
      <c r="AD6" s="45">
        <v>0.23100000000000001</v>
      </c>
      <c r="AE6" s="33">
        <v>1.0029999999999999</v>
      </c>
      <c r="AF6" s="45">
        <v>0.20200000000000001</v>
      </c>
      <c r="AG6" s="45">
        <v>0.187</v>
      </c>
      <c r="AH6" s="33">
        <v>1.288</v>
      </c>
      <c r="AI6" s="33">
        <v>1.379</v>
      </c>
      <c r="AJ6" s="2"/>
      <c r="AK6" s="2"/>
      <c r="AL6" s="6" t="s">
        <v>44</v>
      </c>
      <c r="AM6" s="2"/>
      <c r="AN6" s="4"/>
      <c r="AO6" s="37"/>
      <c r="AP6" s="38" t="s">
        <v>50</v>
      </c>
      <c r="AQ6" s="32">
        <v>396</v>
      </c>
      <c r="AR6" s="2" t="s">
        <v>68</v>
      </c>
      <c r="AS6" s="39">
        <v>7.2</v>
      </c>
      <c r="AT6" s="49">
        <v>0.95399999999999996</v>
      </c>
      <c r="AU6" s="33">
        <v>1.446</v>
      </c>
      <c r="AV6" s="33">
        <v>1.113</v>
      </c>
      <c r="AW6" s="33">
        <v>1.2230000000000001</v>
      </c>
      <c r="AX6" s="33">
        <v>1.4770000000000001</v>
      </c>
      <c r="AY6" s="33">
        <v>1.22</v>
      </c>
      <c r="AZ6" s="33">
        <v>0.93400000000000005</v>
      </c>
      <c r="BA6" s="33">
        <v>0.96699999999999997</v>
      </c>
      <c r="BB6" s="33">
        <v>0.83499999999999996</v>
      </c>
      <c r="BC6" s="34">
        <v>0.505</v>
      </c>
      <c r="BD6" s="35"/>
      <c r="BE6" s="35"/>
    </row>
    <row r="7" spans="1:57" ht="20.25" thickTop="1" thickBot="1" x14ac:dyDescent="0.3">
      <c r="A7" s="43" t="s">
        <v>24</v>
      </c>
      <c r="B7" s="72"/>
      <c r="C7" s="72">
        <v>0.6</v>
      </c>
      <c r="D7" s="34">
        <v>0.52</v>
      </c>
      <c r="E7" s="34">
        <v>0.79900000000000004</v>
      </c>
      <c r="F7" s="34">
        <v>0.73899999999999999</v>
      </c>
      <c r="G7" s="34">
        <v>0.73899999999999999</v>
      </c>
      <c r="H7" s="34">
        <v>0.624</v>
      </c>
      <c r="I7" s="34">
        <v>0.52600000000000002</v>
      </c>
      <c r="J7" s="35">
        <v>0.161</v>
      </c>
      <c r="K7" s="34">
        <v>0.47599999999999998</v>
      </c>
      <c r="L7" s="34">
        <v>0.61899999999999999</v>
      </c>
      <c r="M7" s="33">
        <v>0.82399999999999995</v>
      </c>
      <c r="N7" s="72">
        <f t="shared" si="0"/>
        <v>0.79149999999999998</v>
      </c>
      <c r="O7" s="33">
        <v>0.86099999999999999</v>
      </c>
      <c r="P7" s="33">
        <v>1.2330000000000001</v>
      </c>
      <c r="Q7" s="33">
        <v>1.1879999999999999</v>
      </c>
      <c r="R7" s="33">
        <v>1.07</v>
      </c>
      <c r="S7" s="33">
        <v>0.86099999999999999</v>
      </c>
      <c r="T7" s="34">
        <v>0.79700000000000004</v>
      </c>
      <c r="U7" s="35">
        <v>0.3</v>
      </c>
      <c r="V7" s="35">
        <v>2.1999999999999999E-2</v>
      </c>
      <c r="W7" s="67" t="s">
        <v>122</v>
      </c>
      <c r="X7" s="34">
        <v>0.70699999999999996</v>
      </c>
      <c r="Y7" s="45">
        <v>0.122</v>
      </c>
      <c r="Z7" s="45">
        <v>0.13300000000000001</v>
      </c>
      <c r="AA7" s="45">
        <v>0.247</v>
      </c>
      <c r="AB7" s="45">
        <v>0.17599999999999999</v>
      </c>
      <c r="AC7" s="45">
        <v>0.186</v>
      </c>
      <c r="AD7" s="45">
        <v>0.36599999999999999</v>
      </c>
      <c r="AE7" s="33">
        <v>0.89300000000000002</v>
      </c>
      <c r="AF7" s="45">
        <v>0.36799999999999999</v>
      </c>
      <c r="AG7" s="45">
        <v>0.109</v>
      </c>
      <c r="AH7" s="33">
        <v>0.92700000000000005</v>
      </c>
      <c r="AI7" s="33">
        <v>0.96399999999999997</v>
      </c>
      <c r="AJ7" s="2"/>
      <c r="AK7" s="2"/>
      <c r="AL7" s="4"/>
      <c r="AM7" s="2"/>
      <c r="AN7" s="26" t="s">
        <v>46</v>
      </c>
      <c r="AO7" s="9" t="s">
        <v>46</v>
      </c>
      <c r="AP7" s="2" t="s">
        <v>52</v>
      </c>
      <c r="AQ7" s="40">
        <v>645</v>
      </c>
      <c r="AR7" s="2" t="s">
        <v>68</v>
      </c>
      <c r="AS7" s="5">
        <v>7.2</v>
      </c>
      <c r="AT7" s="49">
        <v>0.91500000000000004</v>
      </c>
      <c r="AU7" s="33">
        <v>0.98599999999999999</v>
      </c>
      <c r="AV7" s="33">
        <v>1.0640000000000001</v>
      </c>
      <c r="AW7" s="33">
        <v>1.04</v>
      </c>
      <c r="AX7" s="34">
        <v>0.75700000000000001</v>
      </c>
      <c r="AY7" s="34">
        <v>0.72499999999999998</v>
      </c>
      <c r="AZ7" s="34">
        <v>0.66200000000000003</v>
      </c>
      <c r="BA7" s="34">
        <v>0.68500000000000005</v>
      </c>
      <c r="BB7" s="34">
        <v>0.45800000000000002</v>
      </c>
      <c r="BC7" s="36">
        <v>5.3999999999999999E-2</v>
      </c>
      <c r="BD7" s="35"/>
      <c r="BE7" s="35"/>
    </row>
    <row r="8" spans="1:57" ht="20.25" thickTop="1" thickBot="1" x14ac:dyDescent="0.3">
      <c r="A8" s="31" t="s">
        <v>26</v>
      </c>
      <c r="B8" s="72"/>
      <c r="C8" s="72">
        <v>0.77</v>
      </c>
      <c r="D8" s="35">
        <v>0.39800000000000002</v>
      </c>
      <c r="E8" s="34">
        <v>0.50800000000000001</v>
      </c>
      <c r="F8" s="34">
        <v>0.73699999999999999</v>
      </c>
      <c r="G8" s="34">
        <v>0.73799999999999999</v>
      </c>
      <c r="H8" s="33">
        <v>0.82099999999999995</v>
      </c>
      <c r="I8" s="33">
        <v>0.90700000000000003</v>
      </c>
      <c r="J8" s="33">
        <v>0.84299999999999997</v>
      </c>
      <c r="K8" s="34">
        <v>0.78</v>
      </c>
      <c r="L8" s="33">
        <v>0.95399999999999996</v>
      </c>
      <c r="M8" s="33">
        <v>0.98299999999999998</v>
      </c>
      <c r="N8" s="71">
        <f t="shared" si="0"/>
        <v>0.84362499999999985</v>
      </c>
      <c r="O8" s="33">
        <v>0.89600000000000002</v>
      </c>
      <c r="P8" s="33">
        <v>1.298</v>
      </c>
      <c r="Q8" s="33">
        <v>1.337</v>
      </c>
      <c r="R8" s="33">
        <v>1.157</v>
      </c>
      <c r="S8" s="33">
        <v>0.91900000000000004</v>
      </c>
      <c r="T8" s="33">
        <v>0.89300000000000002</v>
      </c>
      <c r="U8" s="35">
        <v>0.217</v>
      </c>
      <c r="V8" s="35">
        <v>3.2000000000000001E-2</v>
      </c>
      <c r="W8" s="52" t="s">
        <v>100</v>
      </c>
      <c r="X8" s="33">
        <v>1.3660000000000001</v>
      </c>
      <c r="Y8" s="45">
        <v>0.621</v>
      </c>
      <c r="Z8" s="45">
        <v>0.38300000000000001</v>
      </c>
      <c r="AA8" s="45">
        <v>0.20399999999999999</v>
      </c>
      <c r="AB8" s="45">
        <v>0.127</v>
      </c>
      <c r="AC8" s="45">
        <v>0.13800000000000001</v>
      </c>
      <c r="AD8" s="45">
        <v>0.19800000000000001</v>
      </c>
      <c r="AE8" s="34">
        <v>0.79100000000000004</v>
      </c>
      <c r="AF8" s="45">
        <v>0.253</v>
      </c>
      <c r="AG8" s="45">
        <v>5.5E-2</v>
      </c>
      <c r="AH8" s="33">
        <v>1.3</v>
      </c>
      <c r="AI8" s="33">
        <v>1.135</v>
      </c>
      <c r="AJ8" s="2"/>
      <c r="AK8" s="2"/>
      <c r="AL8" s="4"/>
      <c r="AM8" s="4"/>
      <c r="AN8" s="4"/>
      <c r="AO8" s="9" t="s">
        <v>46</v>
      </c>
      <c r="AP8" s="2" t="s">
        <v>51</v>
      </c>
      <c r="AQ8" s="40">
        <v>897</v>
      </c>
      <c r="AR8" s="2" t="s">
        <v>68</v>
      </c>
      <c r="AS8" s="39">
        <v>7.2</v>
      </c>
      <c r="AT8" s="49">
        <v>0.996</v>
      </c>
      <c r="AU8" s="33">
        <v>1.1559999999999999</v>
      </c>
      <c r="AV8" s="33">
        <v>1.1850000000000001</v>
      </c>
      <c r="AW8" s="33">
        <v>0.97099999999999997</v>
      </c>
      <c r="AX8" s="34">
        <v>0.65400000000000003</v>
      </c>
      <c r="AY8" s="34">
        <v>0.59499999999999997</v>
      </c>
      <c r="AZ8" s="34">
        <v>0.439</v>
      </c>
      <c r="BA8" s="34">
        <v>0.47099999999999997</v>
      </c>
      <c r="BB8" s="35">
        <v>0.115</v>
      </c>
      <c r="BC8" s="36">
        <v>0</v>
      </c>
      <c r="BD8" s="35"/>
      <c r="BE8" s="35"/>
    </row>
    <row r="9" spans="1:57" ht="20.25" thickTop="1" thickBot="1" x14ac:dyDescent="0.3">
      <c r="A9" s="31" t="s">
        <v>13</v>
      </c>
      <c r="B9" s="72"/>
      <c r="C9" s="72">
        <v>0.62</v>
      </c>
      <c r="D9" s="34">
        <v>0.49099999999999999</v>
      </c>
      <c r="E9" s="34">
        <v>0.64400000000000002</v>
      </c>
      <c r="F9" s="34">
        <v>0.65300000000000002</v>
      </c>
      <c r="G9" s="34">
        <v>0.64700000000000002</v>
      </c>
      <c r="H9" s="34">
        <v>0.57799999999999996</v>
      </c>
      <c r="I9" s="34">
        <v>0.51300000000000001</v>
      </c>
      <c r="J9" s="34">
        <v>0.52800000000000002</v>
      </c>
      <c r="K9" s="34">
        <v>0.64700000000000002</v>
      </c>
      <c r="L9" s="34">
        <v>0.72399999999999998</v>
      </c>
      <c r="M9" s="34">
        <v>0.76500000000000001</v>
      </c>
      <c r="N9" s="72">
        <f t="shared" si="0"/>
        <v>0.62000000000000011</v>
      </c>
      <c r="O9" s="34">
        <v>0.70799999999999996</v>
      </c>
      <c r="P9" s="34">
        <v>0.63300000000000001</v>
      </c>
      <c r="Q9" s="34">
        <v>0.71</v>
      </c>
      <c r="R9" s="34">
        <v>0.79300000000000004</v>
      </c>
      <c r="S9" s="34">
        <v>0.74199999999999999</v>
      </c>
      <c r="T9" s="34">
        <v>0.74199999999999999</v>
      </c>
      <c r="U9" s="34">
        <v>0.45300000000000001</v>
      </c>
      <c r="V9" s="35">
        <v>0.17899999999999999</v>
      </c>
      <c r="W9" s="61" t="s">
        <v>116</v>
      </c>
      <c r="X9" s="33">
        <v>0.92200000000000004</v>
      </c>
      <c r="Y9" s="45">
        <v>0.31</v>
      </c>
      <c r="Z9" s="45">
        <v>0.10299999999999999</v>
      </c>
      <c r="AA9" s="45">
        <v>0.25900000000000001</v>
      </c>
      <c r="AB9" s="45">
        <v>0.24299999999999999</v>
      </c>
      <c r="AC9" s="45">
        <v>2.3E-2</v>
      </c>
      <c r="AD9" s="45">
        <v>0.439</v>
      </c>
      <c r="AE9" s="33">
        <v>1.2090000000000001</v>
      </c>
      <c r="AF9" s="45">
        <v>0.36099999999999999</v>
      </c>
      <c r="AG9" s="45">
        <v>7.2999999999999995E-2</v>
      </c>
      <c r="AH9" s="33">
        <v>0.97</v>
      </c>
      <c r="AI9" s="33">
        <v>0.97199999999999998</v>
      </c>
      <c r="AJ9" s="2"/>
      <c r="AK9" s="2"/>
      <c r="AL9" s="4"/>
      <c r="AM9" s="2"/>
      <c r="AN9" s="26" t="s">
        <v>46</v>
      </c>
      <c r="AO9" s="9" t="s">
        <v>46</v>
      </c>
      <c r="AP9" s="2" t="s">
        <v>52</v>
      </c>
      <c r="AQ9" s="40">
        <v>571</v>
      </c>
      <c r="AR9" s="2" t="s">
        <v>69</v>
      </c>
      <c r="AS9" s="5">
        <v>7.1</v>
      </c>
      <c r="AT9" s="50">
        <v>0.7</v>
      </c>
      <c r="AU9" s="34">
        <v>0.72399999999999998</v>
      </c>
      <c r="AV9" s="33">
        <v>0.85599999999999998</v>
      </c>
      <c r="AW9" s="33">
        <v>0.95299999999999996</v>
      </c>
      <c r="AX9" s="34">
        <v>0.70299999999999996</v>
      </c>
      <c r="AY9" s="34">
        <v>0.68899999999999995</v>
      </c>
      <c r="AZ9" s="34">
        <v>0.59599999999999997</v>
      </c>
      <c r="BA9" s="34">
        <v>0.61199999999999999</v>
      </c>
      <c r="BB9" s="35">
        <v>0.26400000000000001</v>
      </c>
      <c r="BC9" s="36">
        <v>4.0000000000000001E-3</v>
      </c>
      <c r="BD9" s="35"/>
      <c r="BE9" s="35"/>
    </row>
    <row r="10" spans="1:57" ht="20.25" thickTop="1" thickBot="1" x14ac:dyDescent="0.3">
      <c r="A10" s="43" t="s">
        <v>9</v>
      </c>
      <c r="B10" s="71"/>
      <c r="C10" s="71">
        <v>0.88</v>
      </c>
      <c r="D10" s="34">
        <v>0.42</v>
      </c>
      <c r="E10" s="34">
        <v>0.75</v>
      </c>
      <c r="F10" s="34">
        <v>0.61099999999999999</v>
      </c>
      <c r="G10" s="34">
        <v>0.63700000000000001</v>
      </c>
      <c r="H10" s="33">
        <v>1.206</v>
      </c>
      <c r="I10" s="33">
        <v>1.3009999999999999</v>
      </c>
      <c r="J10" s="33">
        <v>1.038</v>
      </c>
      <c r="K10" s="33">
        <v>1.155</v>
      </c>
      <c r="L10" s="33">
        <v>1.054</v>
      </c>
      <c r="M10" s="34">
        <v>0.61899999999999999</v>
      </c>
      <c r="N10" s="72">
        <f t="shared" si="0"/>
        <v>0.68637500000000007</v>
      </c>
      <c r="O10" s="33">
        <v>1.105</v>
      </c>
      <c r="P10" s="33">
        <v>1.0269999999999999</v>
      </c>
      <c r="Q10" s="33">
        <v>0.97399999999999998</v>
      </c>
      <c r="R10" s="33">
        <v>0.89700000000000002</v>
      </c>
      <c r="S10" s="33">
        <v>0.89200000000000002</v>
      </c>
      <c r="T10" s="35">
        <v>0.33300000000000002</v>
      </c>
      <c r="U10" s="35">
        <v>0.2</v>
      </c>
      <c r="V10" s="35">
        <v>6.3E-2</v>
      </c>
      <c r="W10" s="58" t="s">
        <v>108</v>
      </c>
      <c r="X10" s="33">
        <v>0.94199999999999995</v>
      </c>
      <c r="Y10" s="45">
        <v>0.35599999999999998</v>
      </c>
      <c r="Z10" s="45">
        <v>0.255</v>
      </c>
      <c r="AA10" s="45">
        <v>0.17299999999999999</v>
      </c>
      <c r="AB10" s="45">
        <v>6.8000000000000005E-2</v>
      </c>
      <c r="AC10" s="45">
        <v>5.0000000000000001E-3</v>
      </c>
      <c r="AD10" s="45">
        <v>0.183</v>
      </c>
      <c r="AE10" s="33">
        <v>0.99399999999999999</v>
      </c>
      <c r="AF10" s="45">
        <v>0.376</v>
      </c>
      <c r="AG10" s="45">
        <v>0.26900000000000002</v>
      </c>
      <c r="AH10" s="33">
        <v>1.071</v>
      </c>
      <c r="AI10" s="33">
        <v>1.375</v>
      </c>
      <c r="AJ10" s="2"/>
      <c r="AK10" s="2"/>
      <c r="AL10" s="4"/>
      <c r="AM10" s="2"/>
      <c r="AN10" s="4"/>
      <c r="AO10" s="9" t="s">
        <v>46</v>
      </c>
      <c r="AP10" s="2" t="s">
        <v>51</v>
      </c>
      <c r="AQ10" s="40">
        <v>779</v>
      </c>
      <c r="AR10" s="2" t="s">
        <v>73</v>
      </c>
      <c r="AS10" s="5">
        <v>7</v>
      </c>
      <c r="AT10" s="49">
        <v>1.5029999999999999</v>
      </c>
      <c r="AU10" s="33">
        <v>1.5549999999999999</v>
      </c>
      <c r="AV10" s="33">
        <v>1.2330000000000001</v>
      </c>
      <c r="AW10" s="33">
        <v>0.89500000000000002</v>
      </c>
      <c r="AX10" s="33">
        <v>0.89800000000000002</v>
      </c>
      <c r="AY10" s="34">
        <v>0.73399999999999999</v>
      </c>
      <c r="AZ10" s="35">
        <v>0.222</v>
      </c>
      <c r="BA10" s="35">
        <v>0.22900000000000001</v>
      </c>
      <c r="BB10" s="35">
        <v>0.1</v>
      </c>
      <c r="BC10" s="36">
        <v>0.01</v>
      </c>
      <c r="BD10" s="35"/>
      <c r="BE10" s="35"/>
    </row>
    <row r="11" spans="1:57" ht="20.25" thickTop="1" thickBot="1" x14ac:dyDescent="0.3">
      <c r="A11" s="6" t="s">
        <v>25</v>
      </c>
      <c r="B11" s="71"/>
      <c r="C11" s="71">
        <v>0.82</v>
      </c>
      <c r="D11" s="35">
        <v>0.23599999999999999</v>
      </c>
      <c r="E11" s="33">
        <v>0.82599999999999996</v>
      </c>
      <c r="F11" s="33">
        <v>0.86699999999999999</v>
      </c>
      <c r="G11" s="33">
        <v>0.872</v>
      </c>
      <c r="H11" s="33">
        <v>0.93799999999999994</v>
      </c>
      <c r="I11" s="33">
        <v>0.91200000000000003</v>
      </c>
      <c r="J11" s="34">
        <v>0.72199999999999998</v>
      </c>
      <c r="K11" s="33">
        <v>0.94799999999999995</v>
      </c>
      <c r="L11" s="33">
        <v>0.94799999999999995</v>
      </c>
      <c r="M11" s="33">
        <v>0.91200000000000003</v>
      </c>
      <c r="N11" s="72">
        <f t="shared" si="0"/>
        <v>0.74912499999999993</v>
      </c>
      <c r="O11" s="33">
        <v>0.93799999999999994</v>
      </c>
      <c r="P11" s="33">
        <v>0.90700000000000003</v>
      </c>
      <c r="Q11" s="33">
        <v>0.98399999999999999</v>
      </c>
      <c r="R11" s="33">
        <v>0.95399999999999996</v>
      </c>
      <c r="S11" s="33">
        <v>0.94899999999999995</v>
      </c>
      <c r="T11" s="33">
        <v>0.93300000000000005</v>
      </c>
      <c r="U11" s="35">
        <v>0.32800000000000001</v>
      </c>
      <c r="V11" s="35"/>
      <c r="W11" s="57" t="s">
        <v>107</v>
      </c>
      <c r="X11" s="33">
        <v>0.94399999999999995</v>
      </c>
      <c r="Y11" s="45">
        <v>0.57099999999999995</v>
      </c>
      <c r="Z11" s="45">
        <v>0.23200000000000001</v>
      </c>
      <c r="AA11" s="45">
        <v>0.10199999999999999</v>
      </c>
      <c r="AB11" s="45">
        <v>4.5999999999999999E-2</v>
      </c>
      <c r="AC11" s="45">
        <v>3.1E-2</v>
      </c>
      <c r="AD11" s="45">
        <v>0.67300000000000004</v>
      </c>
      <c r="AE11" s="33">
        <v>0.95899999999999996</v>
      </c>
      <c r="AF11" s="45">
        <v>0.28599999999999998</v>
      </c>
      <c r="AG11" s="45">
        <v>0</v>
      </c>
      <c r="AH11" s="33">
        <v>0.94899999999999995</v>
      </c>
      <c r="AI11" s="33">
        <v>1.01</v>
      </c>
      <c r="AJ11" s="2"/>
      <c r="AK11" s="2"/>
      <c r="AL11" s="6" t="s">
        <v>44</v>
      </c>
      <c r="AM11" s="2"/>
      <c r="AN11" s="26" t="s">
        <v>46</v>
      </c>
      <c r="AO11" s="9" t="s">
        <v>46</v>
      </c>
      <c r="AP11" s="38" t="s">
        <v>51</v>
      </c>
      <c r="AQ11" s="32">
        <v>229</v>
      </c>
      <c r="AR11" s="2" t="s">
        <v>72</v>
      </c>
      <c r="AS11" s="17">
        <v>6.9</v>
      </c>
      <c r="AT11" s="49">
        <v>0.93899999999999995</v>
      </c>
      <c r="AU11" s="33">
        <v>1.0209999999999999</v>
      </c>
      <c r="AV11" s="34">
        <v>0.57399999999999995</v>
      </c>
      <c r="AW11" s="33">
        <v>0.96899999999999997</v>
      </c>
      <c r="AX11" s="33">
        <v>0.94399999999999995</v>
      </c>
      <c r="AY11" s="33">
        <v>0.90800000000000003</v>
      </c>
      <c r="AZ11" s="33">
        <v>0.84199999999999997</v>
      </c>
      <c r="BA11" s="33">
        <v>0.89700000000000002</v>
      </c>
      <c r="BB11" s="34">
        <v>0.64100000000000001</v>
      </c>
      <c r="BC11" s="36"/>
      <c r="BD11" s="35"/>
      <c r="BE11" s="35"/>
    </row>
    <row r="12" spans="1:57" ht="20.25" thickTop="1" thickBot="1" x14ac:dyDescent="0.3">
      <c r="A12" s="31" t="s">
        <v>16</v>
      </c>
      <c r="B12" s="72"/>
      <c r="C12" s="72">
        <v>0.5</v>
      </c>
      <c r="D12" s="35">
        <v>0.26</v>
      </c>
      <c r="E12" s="35">
        <v>0.13500000000000001</v>
      </c>
      <c r="F12" s="35">
        <v>0.14199999999999999</v>
      </c>
      <c r="G12" s="35">
        <v>0.14199999999999999</v>
      </c>
      <c r="H12" s="35">
        <v>0.39300000000000002</v>
      </c>
      <c r="I12" s="34">
        <v>0.55300000000000005</v>
      </c>
      <c r="J12" s="34">
        <v>0.746</v>
      </c>
      <c r="K12" s="33">
        <v>0.85</v>
      </c>
      <c r="L12" s="33">
        <v>0.85399999999999998</v>
      </c>
      <c r="M12" s="33">
        <v>0.92400000000000004</v>
      </c>
      <c r="N12" s="72">
        <f t="shared" si="0"/>
        <v>0.74524999999999986</v>
      </c>
      <c r="O12" s="33">
        <v>0.95399999999999996</v>
      </c>
      <c r="P12" s="33">
        <v>0.97599999999999998</v>
      </c>
      <c r="Q12" s="33">
        <v>1.1279999999999999</v>
      </c>
      <c r="R12" s="33">
        <v>1.0629999999999999</v>
      </c>
      <c r="S12" s="34">
        <v>0.76600000000000001</v>
      </c>
      <c r="T12" s="34">
        <v>0.622</v>
      </c>
      <c r="U12" s="35">
        <v>0.33400000000000002</v>
      </c>
      <c r="V12" s="35">
        <v>0.11899999999999999</v>
      </c>
      <c r="W12" s="60" t="s">
        <v>115</v>
      </c>
      <c r="X12" s="33">
        <v>0.93500000000000005</v>
      </c>
      <c r="Y12" s="45">
        <v>9.5000000000000001E-2</v>
      </c>
      <c r="Z12" s="45">
        <v>0.14899999999999999</v>
      </c>
      <c r="AA12" s="45">
        <v>0.188</v>
      </c>
      <c r="AB12" s="45">
        <v>0.24199999999999999</v>
      </c>
      <c r="AC12" s="45">
        <v>0.26200000000000001</v>
      </c>
      <c r="AD12" s="45">
        <v>0.23100000000000001</v>
      </c>
      <c r="AE12" s="34">
        <v>0.77700000000000002</v>
      </c>
      <c r="AF12" s="45">
        <v>0.224</v>
      </c>
      <c r="AG12" s="45">
        <v>0.16300000000000001</v>
      </c>
      <c r="AH12" s="33">
        <v>1.038</v>
      </c>
      <c r="AI12" s="33">
        <v>1.204</v>
      </c>
      <c r="AJ12" s="2"/>
      <c r="AK12" s="2"/>
      <c r="AL12" s="4"/>
      <c r="AM12" s="2"/>
      <c r="AN12" s="26" t="s">
        <v>46</v>
      </c>
      <c r="AO12" s="9" t="s">
        <v>46</v>
      </c>
      <c r="AP12" s="2" t="s">
        <v>52</v>
      </c>
      <c r="AQ12" s="41">
        <v>1058</v>
      </c>
      <c r="AR12" s="2" t="s">
        <v>75</v>
      </c>
      <c r="AS12" s="17">
        <v>6.7</v>
      </c>
      <c r="AT12" s="49">
        <v>1.0900000000000001</v>
      </c>
      <c r="AU12" s="33">
        <v>1.179</v>
      </c>
      <c r="AV12" s="33">
        <v>1.1439999999999999</v>
      </c>
      <c r="AW12" s="33">
        <v>0.89600000000000002</v>
      </c>
      <c r="AX12" s="34">
        <v>0.59799999999999998</v>
      </c>
      <c r="AY12" s="35">
        <v>0.38300000000000001</v>
      </c>
      <c r="AZ12" s="35">
        <v>0.25600000000000001</v>
      </c>
      <c r="BA12" s="35">
        <v>0.28699999999999998</v>
      </c>
      <c r="BB12" s="35">
        <v>9.9000000000000005E-2</v>
      </c>
      <c r="BC12" s="36">
        <v>2.3E-2</v>
      </c>
      <c r="BD12" s="35"/>
      <c r="BE12" s="35"/>
    </row>
    <row r="13" spans="1:57" ht="20.25" thickTop="1" thickBot="1" x14ac:dyDescent="0.3">
      <c r="A13" s="43" t="s">
        <v>5</v>
      </c>
      <c r="B13" s="72"/>
      <c r="C13" s="72">
        <v>0.65</v>
      </c>
      <c r="D13" s="35">
        <v>0.29699999999999999</v>
      </c>
      <c r="E13" s="34">
        <v>0.64300000000000002</v>
      </c>
      <c r="F13" s="34">
        <v>0.72699999999999998</v>
      </c>
      <c r="G13" s="34">
        <v>0.72599999999999998</v>
      </c>
      <c r="H13" s="34">
        <v>0.72699999999999998</v>
      </c>
      <c r="I13" s="34">
        <v>0.745</v>
      </c>
      <c r="J13" s="34">
        <v>0.53600000000000003</v>
      </c>
      <c r="K13" s="34">
        <v>0.46700000000000003</v>
      </c>
      <c r="L13" s="34">
        <v>0.73899999999999999</v>
      </c>
      <c r="M13" s="33">
        <v>0.84899999999999998</v>
      </c>
      <c r="N13" s="72">
        <f t="shared" si="0"/>
        <v>0.77874999999999983</v>
      </c>
      <c r="O13" s="33">
        <v>0.90300000000000002</v>
      </c>
      <c r="P13" s="33">
        <v>1.0109999999999999</v>
      </c>
      <c r="Q13" s="33">
        <v>1.2689999999999999</v>
      </c>
      <c r="R13" s="33">
        <v>1.004</v>
      </c>
      <c r="S13" s="33">
        <v>0.86299999999999999</v>
      </c>
      <c r="T13" s="34">
        <v>0.72599999999999998</v>
      </c>
      <c r="U13" s="34">
        <v>0.40600000000000003</v>
      </c>
      <c r="V13" s="35">
        <v>4.8000000000000001E-2</v>
      </c>
      <c r="W13" s="56" t="s">
        <v>105</v>
      </c>
      <c r="X13" s="33">
        <v>0.97399999999999998</v>
      </c>
      <c r="Y13" s="45">
        <v>0.224</v>
      </c>
      <c r="Z13" s="45">
        <v>0.35299999999999998</v>
      </c>
      <c r="AA13" s="45">
        <v>0.23400000000000001</v>
      </c>
      <c r="AB13" s="45">
        <v>7.2999999999999995E-2</v>
      </c>
      <c r="AC13" s="45">
        <v>4.7E-2</v>
      </c>
      <c r="AD13" s="45">
        <v>0.14199999999999999</v>
      </c>
      <c r="AE13" s="33">
        <v>0.81200000000000006</v>
      </c>
      <c r="AF13" s="45">
        <v>0.26100000000000001</v>
      </c>
      <c r="AG13" s="45">
        <v>0.13900000000000001</v>
      </c>
      <c r="AH13" s="33">
        <v>0.81200000000000006</v>
      </c>
      <c r="AI13" s="33">
        <v>0.91500000000000004</v>
      </c>
      <c r="AJ13" s="2"/>
      <c r="AK13" s="2"/>
      <c r="AL13" s="4"/>
      <c r="AM13" s="2"/>
      <c r="AN13" s="26" t="s">
        <v>46</v>
      </c>
      <c r="AO13" s="9" t="s">
        <v>46</v>
      </c>
      <c r="AP13" s="2" t="s">
        <v>52</v>
      </c>
      <c r="AQ13" s="41">
        <v>1038</v>
      </c>
      <c r="AR13" s="2" t="s">
        <v>71</v>
      </c>
      <c r="AS13" s="17">
        <v>6.6</v>
      </c>
      <c r="AT13" s="49">
        <v>1.294</v>
      </c>
      <c r="AU13" s="33">
        <v>1.327</v>
      </c>
      <c r="AV13" s="33">
        <v>1.282</v>
      </c>
      <c r="AW13" s="33">
        <v>1.089</v>
      </c>
      <c r="AX13" s="33">
        <v>0.90500000000000003</v>
      </c>
      <c r="AY13" s="34">
        <v>0.60599999999999998</v>
      </c>
      <c r="AZ13" s="35">
        <v>0.11600000000000001</v>
      </c>
      <c r="BA13" s="35">
        <v>0.113</v>
      </c>
      <c r="BB13" s="35">
        <v>5.3999999999999999E-2</v>
      </c>
      <c r="BC13" s="36">
        <v>1E-3</v>
      </c>
      <c r="BD13" s="35"/>
      <c r="BE13" s="35"/>
    </row>
    <row r="14" spans="1:57" ht="20.25" thickTop="1" thickBot="1" x14ac:dyDescent="0.3">
      <c r="A14" s="44" t="s">
        <v>21</v>
      </c>
      <c r="B14" s="71"/>
      <c r="C14" s="71">
        <v>1.02</v>
      </c>
      <c r="D14" s="34">
        <v>0.66700000000000004</v>
      </c>
      <c r="E14" s="33">
        <v>1.3839999999999999</v>
      </c>
      <c r="F14" s="33">
        <v>1.391</v>
      </c>
      <c r="G14" s="33">
        <v>1.395</v>
      </c>
      <c r="H14" s="33">
        <v>0.97099999999999997</v>
      </c>
      <c r="I14" s="33">
        <v>0.93100000000000005</v>
      </c>
      <c r="J14" s="34">
        <v>0.60499999999999998</v>
      </c>
      <c r="K14" s="33">
        <v>0.874</v>
      </c>
      <c r="L14" s="33">
        <v>0.97799999999999998</v>
      </c>
      <c r="M14" s="33">
        <v>0.98199999999999998</v>
      </c>
      <c r="N14" s="71">
        <f t="shared" si="0"/>
        <v>0.83687500000000004</v>
      </c>
      <c r="O14" s="33">
        <v>0.99299999999999999</v>
      </c>
      <c r="P14" s="33">
        <v>1</v>
      </c>
      <c r="Q14" s="33">
        <v>0.996</v>
      </c>
      <c r="R14" s="33">
        <v>1.0109999999999999</v>
      </c>
      <c r="S14" s="33">
        <v>0.99</v>
      </c>
      <c r="T14" s="33">
        <v>0.99299999999999999</v>
      </c>
      <c r="U14" s="34">
        <v>0.59699999999999998</v>
      </c>
      <c r="V14" s="35">
        <v>0.115</v>
      </c>
      <c r="W14" s="55" t="s">
        <v>103</v>
      </c>
      <c r="X14" s="33">
        <v>1.0129999999999999</v>
      </c>
      <c r="Y14" s="45">
        <v>0.20499999999999999</v>
      </c>
      <c r="Z14" s="45">
        <v>0.38600000000000001</v>
      </c>
      <c r="AA14" s="45">
        <v>0.33700000000000002</v>
      </c>
      <c r="AB14" s="45">
        <v>8.2000000000000003E-2</v>
      </c>
      <c r="AC14" s="45">
        <v>0.01</v>
      </c>
      <c r="AD14" s="45">
        <v>0.54200000000000004</v>
      </c>
      <c r="AE14" s="33">
        <v>0.93100000000000005</v>
      </c>
      <c r="AF14" s="45">
        <v>0.33700000000000002</v>
      </c>
      <c r="AG14" s="45">
        <v>9.1999999999999998E-2</v>
      </c>
      <c r="AH14" s="33">
        <v>0.96499999999999997</v>
      </c>
      <c r="AI14" s="33">
        <v>0.99099999999999999</v>
      </c>
      <c r="AJ14" s="2"/>
      <c r="AK14" s="2"/>
      <c r="AL14" s="6" t="s">
        <v>44</v>
      </c>
      <c r="AM14" s="2"/>
      <c r="AN14" s="4"/>
      <c r="AO14" s="37"/>
      <c r="AP14" s="38" t="s">
        <v>50</v>
      </c>
      <c r="AQ14" s="32">
        <v>386</v>
      </c>
      <c r="AR14" s="2" t="s">
        <v>71</v>
      </c>
      <c r="AS14" s="17">
        <v>6.6</v>
      </c>
      <c r="AT14" s="49">
        <v>0.96699999999999997</v>
      </c>
      <c r="AU14" s="33">
        <v>1.0029999999999999</v>
      </c>
      <c r="AV14" s="33">
        <v>1.1259999999999999</v>
      </c>
      <c r="AW14" s="33">
        <v>0.83</v>
      </c>
      <c r="AX14" s="34">
        <v>0.78500000000000003</v>
      </c>
      <c r="AY14" s="34">
        <v>0.77</v>
      </c>
      <c r="AZ14" s="34">
        <v>0.73499999999999999</v>
      </c>
      <c r="BA14" s="34">
        <v>0.75700000000000001</v>
      </c>
      <c r="BB14" s="35">
        <v>0.155</v>
      </c>
      <c r="BC14" s="36"/>
      <c r="BD14" s="35"/>
      <c r="BE14" s="35"/>
    </row>
    <row r="15" spans="1:57" ht="20.25" thickTop="1" thickBot="1" x14ac:dyDescent="0.3">
      <c r="A15" s="6" t="s">
        <v>23</v>
      </c>
      <c r="B15" s="71"/>
      <c r="C15" s="71">
        <v>0.88</v>
      </c>
      <c r="D15" s="33">
        <v>0.82499999999999996</v>
      </c>
      <c r="E15" s="33">
        <v>0.86099999999999999</v>
      </c>
      <c r="F15" s="34">
        <v>0.79900000000000004</v>
      </c>
      <c r="G15" s="33">
        <v>0.80300000000000005</v>
      </c>
      <c r="H15" s="34">
        <v>0.79100000000000004</v>
      </c>
      <c r="I15" s="33">
        <v>0.93500000000000005</v>
      </c>
      <c r="J15" s="33">
        <v>0.90500000000000003</v>
      </c>
      <c r="K15" s="33">
        <v>0.88700000000000001</v>
      </c>
      <c r="L15" s="33">
        <v>0.92500000000000004</v>
      </c>
      <c r="M15" s="33">
        <v>1.095</v>
      </c>
      <c r="N15" s="71">
        <f t="shared" si="0"/>
        <v>0.92037499999999994</v>
      </c>
      <c r="O15" s="33">
        <v>1.0649999999999999</v>
      </c>
      <c r="P15" s="33">
        <v>1.413</v>
      </c>
      <c r="Q15" s="33">
        <v>1.4319999999999999</v>
      </c>
      <c r="R15" s="33">
        <v>1.38</v>
      </c>
      <c r="S15" s="33">
        <v>0.98499999999999999</v>
      </c>
      <c r="T15" s="34">
        <v>0.76</v>
      </c>
      <c r="U15" s="35">
        <v>0.23499999999999999</v>
      </c>
      <c r="V15" s="35">
        <v>9.2999999999999999E-2</v>
      </c>
      <c r="W15" s="60" t="s">
        <v>115</v>
      </c>
      <c r="X15" s="33">
        <v>0.93500000000000005</v>
      </c>
      <c r="Y15" s="45">
        <v>0.186</v>
      </c>
      <c r="Z15" s="45">
        <v>0.246</v>
      </c>
      <c r="AA15" s="45">
        <v>0.23300000000000001</v>
      </c>
      <c r="AB15" s="45">
        <v>0.23799999999999999</v>
      </c>
      <c r="AC15" s="45">
        <v>1.9E-2</v>
      </c>
      <c r="AD15" s="45">
        <v>0.47099999999999997</v>
      </c>
      <c r="AE15" s="33">
        <v>1.01</v>
      </c>
      <c r="AF15" s="45">
        <v>0.39</v>
      </c>
      <c r="AG15" s="45">
        <v>7.2999999999999995E-2</v>
      </c>
      <c r="AH15" s="33">
        <v>1.024</v>
      </c>
      <c r="AI15" s="33">
        <v>1.0369999999999999</v>
      </c>
      <c r="AJ15" s="2"/>
      <c r="AK15" s="2"/>
      <c r="AL15" s="6" t="s">
        <v>44</v>
      </c>
      <c r="AM15" s="2"/>
      <c r="AN15" s="4"/>
      <c r="AO15" s="37"/>
      <c r="AP15" s="38" t="s">
        <v>51</v>
      </c>
      <c r="AQ15" s="32">
        <v>236</v>
      </c>
      <c r="AR15" s="2" t="s">
        <v>70</v>
      </c>
      <c r="AS15" s="17">
        <v>6.5</v>
      </c>
      <c r="AT15" s="49">
        <v>1</v>
      </c>
      <c r="AU15" s="33">
        <v>1.0640000000000001</v>
      </c>
      <c r="AV15" s="33">
        <v>0.93200000000000005</v>
      </c>
      <c r="AW15" s="33">
        <v>0.92700000000000005</v>
      </c>
      <c r="AX15" s="34">
        <v>0.71699999999999997</v>
      </c>
      <c r="AY15" s="34">
        <v>0.67600000000000005</v>
      </c>
      <c r="AZ15" s="34">
        <v>0.495</v>
      </c>
      <c r="BA15" s="34">
        <v>0.55300000000000005</v>
      </c>
      <c r="BB15" s="34">
        <v>0.45700000000000002</v>
      </c>
      <c r="BC15" s="36">
        <v>0.114</v>
      </c>
      <c r="BD15" s="35"/>
      <c r="BE15" s="35"/>
    </row>
    <row r="16" spans="1:57" ht="20.25" thickTop="1" thickBot="1" x14ac:dyDescent="0.3">
      <c r="A16" s="44" t="s">
        <v>3</v>
      </c>
      <c r="B16" s="71"/>
      <c r="C16" s="71">
        <v>0.84</v>
      </c>
      <c r="D16" s="34">
        <v>0.626</v>
      </c>
      <c r="E16" s="34">
        <v>0.69899999999999995</v>
      </c>
      <c r="F16" s="34">
        <v>0.66300000000000003</v>
      </c>
      <c r="G16" s="34">
        <v>0.67100000000000004</v>
      </c>
      <c r="H16" s="33">
        <v>0.82099999999999995</v>
      </c>
      <c r="I16" s="33">
        <v>0.91500000000000004</v>
      </c>
      <c r="J16" s="33">
        <v>0.98799999999999999</v>
      </c>
      <c r="K16" s="33">
        <v>1.024</v>
      </c>
      <c r="L16" s="33">
        <v>0.94799999999999995</v>
      </c>
      <c r="M16" s="33">
        <v>0.996</v>
      </c>
      <c r="N16" s="71">
        <f t="shared" si="0"/>
        <v>0.96812500000000012</v>
      </c>
      <c r="O16" s="33">
        <v>0.95199999999999996</v>
      </c>
      <c r="P16" s="33">
        <v>1.357</v>
      </c>
      <c r="Q16" s="33">
        <v>1.532</v>
      </c>
      <c r="R16" s="33">
        <v>1.3640000000000001</v>
      </c>
      <c r="S16" s="33">
        <v>1.0760000000000001</v>
      </c>
      <c r="T16" s="33">
        <v>0.97599999999999998</v>
      </c>
      <c r="U16" s="35">
        <v>0.376</v>
      </c>
      <c r="V16" s="35">
        <v>0.112</v>
      </c>
      <c r="W16" s="59" t="s">
        <v>114</v>
      </c>
      <c r="X16" s="33">
        <v>0.94099999999999995</v>
      </c>
      <c r="Y16" s="45">
        <v>0.23300000000000001</v>
      </c>
      <c r="Z16" s="45">
        <v>0.32800000000000001</v>
      </c>
      <c r="AA16" s="45">
        <v>0.28000000000000003</v>
      </c>
      <c r="AB16" s="45">
        <v>0.10199999999999999</v>
      </c>
      <c r="AC16" s="45">
        <v>3.1E-2</v>
      </c>
      <c r="AD16" s="45">
        <v>4.7E-2</v>
      </c>
      <c r="AE16" s="34">
        <v>0.57899999999999996</v>
      </c>
      <c r="AF16" s="45">
        <v>0.41299999999999998</v>
      </c>
      <c r="AG16" s="45">
        <v>0.17899999999999999</v>
      </c>
      <c r="AH16" s="33">
        <v>1.0069999999999999</v>
      </c>
      <c r="AI16" s="33">
        <v>0.996</v>
      </c>
      <c r="AJ16" s="2"/>
      <c r="AK16" s="2"/>
      <c r="AL16" s="6" t="s">
        <v>44</v>
      </c>
      <c r="AM16" s="2"/>
      <c r="AN16" s="26" t="s">
        <v>46</v>
      </c>
      <c r="AO16" s="9" t="s">
        <v>46</v>
      </c>
      <c r="AP16" s="38" t="s">
        <v>51</v>
      </c>
      <c r="AQ16" s="32">
        <v>306</v>
      </c>
      <c r="AR16" s="2" t="s">
        <v>74</v>
      </c>
      <c r="AS16" s="17">
        <v>6.4</v>
      </c>
      <c r="AT16" s="49">
        <v>1.1100000000000001</v>
      </c>
      <c r="AU16" s="33">
        <v>1.109</v>
      </c>
      <c r="AV16" s="33">
        <v>1.18</v>
      </c>
      <c r="AW16" s="33">
        <v>1.4419999999999999</v>
      </c>
      <c r="AX16" s="33">
        <v>0.93300000000000005</v>
      </c>
      <c r="AY16" s="34">
        <v>0.76</v>
      </c>
      <c r="AZ16" s="34">
        <v>0.64600000000000002</v>
      </c>
      <c r="BA16" s="34">
        <v>0.65200000000000002</v>
      </c>
      <c r="BB16" s="34">
        <v>0.56599999999999995</v>
      </c>
      <c r="BC16" s="36">
        <v>0.10100000000000001</v>
      </c>
      <c r="BD16" s="35"/>
      <c r="BE16" s="35"/>
    </row>
    <row r="17" spans="1:57" ht="20.25" thickTop="1" thickBot="1" x14ac:dyDescent="0.3">
      <c r="A17" s="31" t="s">
        <v>11</v>
      </c>
      <c r="B17" s="71"/>
      <c r="C17" s="71">
        <v>1</v>
      </c>
      <c r="D17" s="33">
        <v>1</v>
      </c>
      <c r="E17" s="33">
        <v>0.97799999999999998</v>
      </c>
      <c r="F17" s="33">
        <v>1</v>
      </c>
      <c r="G17" s="33">
        <v>1.022</v>
      </c>
      <c r="H17" s="33">
        <v>1</v>
      </c>
      <c r="I17" s="33">
        <v>0.97799999999999998</v>
      </c>
      <c r="J17" s="33">
        <v>0.97799999999999998</v>
      </c>
      <c r="K17" s="33">
        <v>1</v>
      </c>
      <c r="L17" s="33">
        <v>1</v>
      </c>
      <c r="M17" s="33">
        <v>1</v>
      </c>
      <c r="N17" s="71">
        <f t="shared" si="0"/>
        <v>0.82462500000000005</v>
      </c>
      <c r="O17" s="33">
        <v>1</v>
      </c>
      <c r="P17" s="33">
        <v>1</v>
      </c>
      <c r="Q17" s="33">
        <v>1.0649999999999999</v>
      </c>
      <c r="R17" s="33">
        <v>1.1299999999999999</v>
      </c>
      <c r="S17" s="33">
        <v>0.91300000000000003</v>
      </c>
      <c r="T17" s="34">
        <v>0.73299999999999998</v>
      </c>
      <c r="U17" s="34">
        <v>0.48899999999999999</v>
      </c>
      <c r="V17" s="35">
        <v>0.26700000000000002</v>
      </c>
      <c r="W17" s="68" t="s">
        <v>110</v>
      </c>
      <c r="X17" s="34">
        <v>0.78300000000000003</v>
      </c>
      <c r="Y17" s="45">
        <v>0.19600000000000001</v>
      </c>
      <c r="Z17" s="45">
        <v>0.152</v>
      </c>
      <c r="AA17" s="45">
        <v>0.26100000000000001</v>
      </c>
      <c r="AB17" s="45">
        <v>0.152</v>
      </c>
      <c r="AC17" s="45">
        <v>0.19600000000000001</v>
      </c>
      <c r="AD17" s="45">
        <v>0.34799999999999998</v>
      </c>
      <c r="AE17" s="33">
        <v>1</v>
      </c>
      <c r="AF17" s="45">
        <v>0.188</v>
      </c>
      <c r="AG17" s="45">
        <v>0.184</v>
      </c>
      <c r="AH17" s="33">
        <v>1.286</v>
      </c>
      <c r="AI17" s="33">
        <v>1.3879999999999999</v>
      </c>
      <c r="AJ17" s="2"/>
      <c r="AK17" s="2"/>
      <c r="AL17" s="4"/>
      <c r="AM17" s="2"/>
      <c r="AN17" s="4"/>
      <c r="AO17" s="9" t="s">
        <v>46</v>
      </c>
      <c r="AP17" s="2" t="s">
        <v>50</v>
      </c>
      <c r="AQ17" s="32">
        <v>50</v>
      </c>
      <c r="AR17" s="2" t="s">
        <v>74</v>
      </c>
      <c r="AS17" s="17">
        <v>6.4</v>
      </c>
      <c r="AT17" s="49">
        <v>1.2609999999999999</v>
      </c>
      <c r="AU17" s="33">
        <v>1.26</v>
      </c>
      <c r="AV17" s="33">
        <v>1.62</v>
      </c>
      <c r="AW17" s="33">
        <v>1.4</v>
      </c>
      <c r="AX17" s="33">
        <v>1.1200000000000001</v>
      </c>
      <c r="AY17" s="33">
        <v>0.82799999999999996</v>
      </c>
      <c r="AZ17" s="34">
        <v>0.73899999999999999</v>
      </c>
      <c r="BA17" s="34">
        <v>0.7</v>
      </c>
      <c r="BB17" s="35"/>
      <c r="BC17" s="36"/>
      <c r="BD17" s="35"/>
      <c r="BE17" s="35"/>
    </row>
    <row r="18" spans="1:57" ht="20.25" thickTop="1" thickBot="1" x14ac:dyDescent="0.3">
      <c r="A18" s="31" t="s">
        <v>14</v>
      </c>
      <c r="B18" s="72"/>
      <c r="C18" s="72">
        <v>0.78</v>
      </c>
      <c r="D18" s="34">
        <v>0.75600000000000001</v>
      </c>
      <c r="E18" s="33">
        <v>0.8</v>
      </c>
      <c r="F18" s="33">
        <v>0.84399999999999997</v>
      </c>
      <c r="G18" s="33">
        <v>0.84399999999999997</v>
      </c>
      <c r="H18" s="33">
        <v>0.86</v>
      </c>
      <c r="I18" s="33">
        <v>0.84599999999999997</v>
      </c>
      <c r="J18" s="33">
        <v>0.83799999999999997</v>
      </c>
      <c r="K18" s="34">
        <v>0.64200000000000002</v>
      </c>
      <c r="L18" s="34">
        <v>0.52900000000000003</v>
      </c>
      <c r="M18" s="33">
        <v>0.85499999999999998</v>
      </c>
      <c r="N18" s="71">
        <f t="shared" si="0"/>
        <v>0.83737499999999987</v>
      </c>
      <c r="O18" s="33">
        <v>0.85499999999999998</v>
      </c>
      <c r="P18" s="33">
        <v>1.0649999999999999</v>
      </c>
      <c r="Q18" s="33">
        <v>1.099</v>
      </c>
      <c r="R18" s="33">
        <v>1.167</v>
      </c>
      <c r="S18" s="33">
        <v>0.84</v>
      </c>
      <c r="T18" s="33">
        <v>0.84</v>
      </c>
      <c r="U18" s="34">
        <v>0.59699999999999998</v>
      </c>
      <c r="V18" s="35">
        <v>0.23599999999999999</v>
      </c>
      <c r="W18" s="69" t="s">
        <v>123</v>
      </c>
      <c r="X18" s="34">
        <v>0.69899999999999995</v>
      </c>
      <c r="Y18" s="45"/>
      <c r="Z18" s="45">
        <v>0.252</v>
      </c>
      <c r="AA18" s="45">
        <v>0.20699999999999999</v>
      </c>
      <c r="AB18" s="45">
        <v>0.22800000000000001</v>
      </c>
      <c r="AC18" s="45">
        <v>0.16600000000000001</v>
      </c>
      <c r="AD18" s="45">
        <v>7.5999999999999998E-2</v>
      </c>
      <c r="AE18" s="34">
        <v>0.77900000000000003</v>
      </c>
      <c r="AF18" s="45">
        <v>0.315</v>
      </c>
      <c r="AG18" s="45">
        <v>0.11600000000000001</v>
      </c>
      <c r="AH18" s="33">
        <v>0.85099999999999998</v>
      </c>
      <c r="AI18" s="33">
        <v>1.946</v>
      </c>
      <c r="AJ18" s="2"/>
      <c r="AK18" s="2"/>
      <c r="AL18" s="4"/>
      <c r="AM18" s="2"/>
      <c r="AN18" s="4"/>
      <c r="AO18" s="9" t="s">
        <v>46</v>
      </c>
      <c r="AP18" s="2" t="s">
        <v>51</v>
      </c>
      <c r="AQ18" s="32">
        <v>148</v>
      </c>
      <c r="AR18" s="2" t="s">
        <v>74</v>
      </c>
      <c r="AS18" s="17">
        <v>6.4</v>
      </c>
      <c r="AT18" s="49">
        <v>1.8340000000000001</v>
      </c>
      <c r="AU18" s="33">
        <v>1.851</v>
      </c>
      <c r="AV18" s="33">
        <v>1.851</v>
      </c>
      <c r="AW18" s="33">
        <v>1.7909999999999999</v>
      </c>
      <c r="AX18" s="33">
        <v>1.27</v>
      </c>
      <c r="AY18" s="35"/>
      <c r="AZ18" s="35"/>
      <c r="BA18" s="35"/>
      <c r="BB18" s="35"/>
      <c r="BC18" s="36"/>
      <c r="BD18" s="35"/>
      <c r="BE18" s="35"/>
    </row>
    <row r="19" spans="1:57" ht="20.25" thickTop="1" thickBot="1" x14ac:dyDescent="0.3">
      <c r="A19" s="31" t="s">
        <v>15</v>
      </c>
      <c r="B19" s="72"/>
      <c r="C19" s="72">
        <v>0.56999999999999995</v>
      </c>
      <c r="D19" s="34">
        <v>0.75600000000000001</v>
      </c>
      <c r="E19" s="34">
        <v>0.67</v>
      </c>
      <c r="F19" s="34">
        <v>0.68200000000000005</v>
      </c>
      <c r="G19" s="34">
        <v>0.68799999999999994</v>
      </c>
      <c r="H19" s="34">
        <v>0.45900000000000002</v>
      </c>
      <c r="I19" s="34">
        <v>0.50600000000000001</v>
      </c>
      <c r="J19" s="34">
        <v>0.441</v>
      </c>
      <c r="K19" s="35">
        <v>0.32600000000000001</v>
      </c>
      <c r="L19" s="34">
        <v>0.47499999999999998</v>
      </c>
      <c r="M19" s="34">
        <v>0.71399999999999997</v>
      </c>
      <c r="N19" s="71">
        <f t="shared" si="0"/>
        <v>0.95062499999999994</v>
      </c>
      <c r="O19" s="33">
        <v>0.99099999999999999</v>
      </c>
      <c r="P19" s="33">
        <v>1.171</v>
      </c>
      <c r="Q19" s="33">
        <v>1.3380000000000001</v>
      </c>
      <c r="R19" s="33">
        <v>1.4159999999999999</v>
      </c>
      <c r="S19" s="33">
        <v>1.1419999999999999</v>
      </c>
      <c r="T19" s="33">
        <v>0.80500000000000005</v>
      </c>
      <c r="U19" s="34">
        <v>0.52600000000000002</v>
      </c>
      <c r="V19" s="35">
        <v>0.216</v>
      </c>
      <c r="W19" s="56" t="s">
        <v>104</v>
      </c>
      <c r="X19" s="33">
        <v>0.996</v>
      </c>
      <c r="Y19" s="45">
        <v>9.7000000000000003E-2</v>
      </c>
      <c r="Z19" s="45">
        <v>0.33700000000000002</v>
      </c>
      <c r="AA19" s="45">
        <v>0.248</v>
      </c>
      <c r="AB19" s="45">
        <v>0.246</v>
      </c>
      <c r="AC19" s="45">
        <v>0.25</v>
      </c>
      <c r="AD19" s="45">
        <v>0.161</v>
      </c>
      <c r="AE19" s="33">
        <v>0.83899999999999997</v>
      </c>
      <c r="AF19" s="45">
        <v>0.23</v>
      </c>
      <c r="AG19" s="45">
        <v>0.13900000000000001</v>
      </c>
      <c r="AH19" s="33">
        <v>1.4019999999999999</v>
      </c>
      <c r="AI19" s="33">
        <v>1.3049999999999999</v>
      </c>
      <c r="AJ19" s="2"/>
      <c r="AK19" s="2"/>
      <c r="AL19" s="4"/>
      <c r="AM19" s="2"/>
      <c r="AN19" s="26" t="s">
        <v>46</v>
      </c>
      <c r="AO19" s="9" t="s">
        <v>46</v>
      </c>
      <c r="AP19" s="2" t="s">
        <v>52</v>
      </c>
      <c r="AQ19" s="40">
        <v>642</v>
      </c>
      <c r="AR19" s="2" t="s">
        <v>74</v>
      </c>
      <c r="AS19" s="17">
        <v>6.4</v>
      </c>
      <c r="AT19" s="49">
        <v>1.411</v>
      </c>
      <c r="AU19" s="33">
        <v>1.5569999999999999</v>
      </c>
      <c r="AV19" s="33">
        <v>1.2629999999999999</v>
      </c>
      <c r="AW19" s="33">
        <v>0.88200000000000001</v>
      </c>
      <c r="AX19" s="34">
        <v>0.51100000000000001</v>
      </c>
      <c r="AY19" s="34">
        <v>0.441</v>
      </c>
      <c r="AZ19" s="35">
        <v>6.6000000000000003E-2</v>
      </c>
      <c r="BA19" s="35">
        <v>8.4000000000000005E-2</v>
      </c>
      <c r="BB19" s="35">
        <v>2.8000000000000001E-2</v>
      </c>
      <c r="BC19" s="36">
        <v>4.0000000000000001E-3</v>
      </c>
      <c r="BD19" s="35"/>
      <c r="BE19" s="35"/>
    </row>
    <row r="20" spans="1:57" ht="20.25" thickTop="1" thickBot="1" x14ac:dyDescent="0.3">
      <c r="A20" s="43" t="s">
        <v>22</v>
      </c>
      <c r="B20" s="72"/>
      <c r="C20" s="72">
        <v>0.69</v>
      </c>
      <c r="D20" s="34">
        <v>0.61</v>
      </c>
      <c r="E20" s="34">
        <v>0.623</v>
      </c>
      <c r="F20" s="34">
        <v>0.65600000000000003</v>
      </c>
      <c r="G20" s="34">
        <v>0.66</v>
      </c>
      <c r="H20" s="34">
        <v>0.68700000000000006</v>
      </c>
      <c r="I20" s="34">
        <v>0.71499999999999997</v>
      </c>
      <c r="J20" s="34">
        <v>0.71499999999999997</v>
      </c>
      <c r="K20" s="34">
        <v>0.72399999999999998</v>
      </c>
      <c r="L20" s="33">
        <v>0.80600000000000005</v>
      </c>
      <c r="M20" s="34">
        <v>0.70499999999999996</v>
      </c>
      <c r="N20" s="72">
        <f t="shared" si="0"/>
        <v>0.77550000000000008</v>
      </c>
      <c r="O20" s="33">
        <v>0.90200000000000002</v>
      </c>
      <c r="P20" s="33">
        <v>1.1180000000000001</v>
      </c>
      <c r="Q20" s="33">
        <v>1.1659999999999999</v>
      </c>
      <c r="R20" s="33">
        <v>1.054</v>
      </c>
      <c r="S20" s="33">
        <v>0.95299999999999996</v>
      </c>
      <c r="T20" s="34">
        <v>0.64600000000000002</v>
      </c>
      <c r="U20" s="35">
        <v>0.3</v>
      </c>
      <c r="V20" s="35">
        <v>6.5000000000000002E-2</v>
      </c>
      <c r="W20" s="63" t="s">
        <v>109</v>
      </c>
      <c r="X20" s="33">
        <v>0.89100000000000001</v>
      </c>
      <c r="Y20" s="45">
        <v>0.19700000000000001</v>
      </c>
      <c r="Z20" s="45">
        <v>0.189</v>
      </c>
      <c r="AA20" s="45">
        <v>0.17699999999999999</v>
      </c>
      <c r="AB20" s="45">
        <v>0.23400000000000001</v>
      </c>
      <c r="AC20" s="45">
        <v>0.17</v>
      </c>
      <c r="AD20" s="45">
        <v>0.17499999999999999</v>
      </c>
      <c r="AE20" s="33">
        <v>0.83899999999999997</v>
      </c>
      <c r="AF20" s="45">
        <v>0.29799999999999999</v>
      </c>
      <c r="AG20" s="45">
        <v>0.13800000000000001</v>
      </c>
      <c r="AH20" s="33">
        <v>1.0580000000000001</v>
      </c>
      <c r="AI20" s="33">
        <v>1.1679999999999999</v>
      </c>
      <c r="AJ20" s="2"/>
      <c r="AK20" s="2"/>
      <c r="AL20" s="4"/>
      <c r="AM20" s="2"/>
      <c r="AN20" s="26" t="s">
        <v>46</v>
      </c>
      <c r="AO20" s="9" t="s">
        <v>46</v>
      </c>
      <c r="AP20" s="2" t="s">
        <v>52</v>
      </c>
      <c r="AQ20" s="40">
        <v>968</v>
      </c>
      <c r="AR20" s="2" t="s">
        <v>74</v>
      </c>
      <c r="AS20" s="17">
        <v>6.4</v>
      </c>
      <c r="AT20" s="49">
        <v>0.92200000000000004</v>
      </c>
      <c r="AU20" s="33">
        <v>1.0640000000000001</v>
      </c>
      <c r="AV20" s="33">
        <v>0.93400000000000005</v>
      </c>
      <c r="AW20" s="33">
        <v>0.97299999999999998</v>
      </c>
      <c r="AX20" s="34">
        <v>0.624</v>
      </c>
      <c r="AY20" s="34">
        <v>0.443</v>
      </c>
      <c r="AZ20" s="35">
        <v>0.39900000000000002</v>
      </c>
      <c r="BA20" s="34">
        <v>0.41799999999999998</v>
      </c>
      <c r="BB20" s="35">
        <v>0.19900000000000001</v>
      </c>
      <c r="BC20" s="36">
        <v>0</v>
      </c>
      <c r="BD20" s="35"/>
      <c r="BE20" s="35"/>
    </row>
    <row r="21" spans="1:57" ht="20.25" thickTop="1" thickBot="1" x14ac:dyDescent="0.3">
      <c r="A21" s="6" t="s">
        <v>17</v>
      </c>
      <c r="B21" s="71"/>
      <c r="C21" s="71">
        <v>0.99</v>
      </c>
      <c r="D21" s="34">
        <v>0.72399999999999998</v>
      </c>
      <c r="E21" s="33">
        <v>1.169</v>
      </c>
      <c r="F21" s="33">
        <v>1.3680000000000001</v>
      </c>
      <c r="G21" s="33">
        <v>1.3720000000000001</v>
      </c>
      <c r="H21" s="33">
        <v>0.98299999999999998</v>
      </c>
      <c r="I21" s="33">
        <v>0.90300000000000002</v>
      </c>
      <c r="J21" s="34">
        <v>0.71099999999999997</v>
      </c>
      <c r="K21" s="34">
        <v>0.79900000000000004</v>
      </c>
      <c r="L21" s="33">
        <v>0.92300000000000004</v>
      </c>
      <c r="M21" s="33">
        <v>0.97299999999999998</v>
      </c>
      <c r="N21" s="71">
        <f t="shared" si="0"/>
        <v>0.86437499999999989</v>
      </c>
      <c r="O21" s="33">
        <v>0.98299999999999998</v>
      </c>
      <c r="P21" s="33">
        <v>1.4850000000000001</v>
      </c>
      <c r="Q21" s="33">
        <v>1.212</v>
      </c>
      <c r="R21" s="33">
        <v>1.052</v>
      </c>
      <c r="S21" s="33">
        <v>0.98399999999999999</v>
      </c>
      <c r="T21" s="33">
        <v>0.97899999999999998</v>
      </c>
      <c r="U21" s="35">
        <v>0.21199999999999999</v>
      </c>
      <c r="V21" s="35">
        <v>8.0000000000000002E-3</v>
      </c>
      <c r="W21" s="65" t="s">
        <v>112</v>
      </c>
      <c r="X21" s="33">
        <v>0.83399999999999996</v>
      </c>
      <c r="Y21" s="45">
        <v>1.0999999999999999E-2</v>
      </c>
      <c r="Z21" s="45">
        <v>8.2000000000000003E-2</v>
      </c>
      <c r="AA21" s="45">
        <v>0.245</v>
      </c>
      <c r="AB21" s="45">
        <v>0.498</v>
      </c>
      <c r="AC21" s="45">
        <v>0.159</v>
      </c>
      <c r="AD21" s="45">
        <v>6.3E-2</v>
      </c>
      <c r="AE21" s="33">
        <v>0.98299999999999998</v>
      </c>
      <c r="AF21" s="45">
        <v>0.254</v>
      </c>
      <c r="AG21" s="45">
        <v>0.497</v>
      </c>
      <c r="AH21" s="34">
        <v>0.76700000000000002</v>
      </c>
      <c r="AI21" s="33">
        <v>1.038</v>
      </c>
      <c r="AJ21" s="2"/>
      <c r="AK21" s="2"/>
      <c r="AL21" s="6" t="s">
        <v>44</v>
      </c>
      <c r="AM21" s="2"/>
      <c r="AN21" s="4"/>
      <c r="AO21" s="37"/>
      <c r="AP21" s="38" t="s">
        <v>51</v>
      </c>
      <c r="AQ21" s="40">
        <v>521</v>
      </c>
      <c r="AR21" s="2" t="s">
        <v>76</v>
      </c>
      <c r="AS21" s="17">
        <v>6.3</v>
      </c>
      <c r="AT21" s="49">
        <v>1.157</v>
      </c>
      <c r="AU21" s="33">
        <v>1.19</v>
      </c>
      <c r="AV21" s="33">
        <v>1.3140000000000001</v>
      </c>
      <c r="AW21" s="33">
        <v>1.8220000000000001</v>
      </c>
      <c r="AX21" s="33">
        <v>1.3260000000000001</v>
      </c>
      <c r="AY21" s="33">
        <v>0.89100000000000001</v>
      </c>
      <c r="AZ21" s="34">
        <v>0.72599999999999998</v>
      </c>
      <c r="BA21" s="34">
        <v>0.74299999999999999</v>
      </c>
      <c r="BB21" s="34">
        <v>0.61699999999999999</v>
      </c>
      <c r="BC21" s="36">
        <v>0.04</v>
      </c>
      <c r="BD21" s="35"/>
      <c r="BE21" s="35"/>
    </row>
    <row r="22" spans="1:57" ht="20.25" thickTop="1" thickBot="1" x14ac:dyDescent="0.3">
      <c r="A22" s="31" t="s">
        <v>18</v>
      </c>
      <c r="B22" s="72"/>
      <c r="C22" s="72">
        <v>0.75</v>
      </c>
      <c r="D22" s="34">
        <v>0.50800000000000001</v>
      </c>
      <c r="E22" s="34">
        <v>0.63800000000000001</v>
      </c>
      <c r="F22" s="34">
        <v>0.79500000000000004</v>
      </c>
      <c r="G22" s="34">
        <v>0.79600000000000004</v>
      </c>
      <c r="H22" s="34">
        <v>0.72399999999999998</v>
      </c>
      <c r="I22" s="34">
        <v>0.68500000000000005</v>
      </c>
      <c r="J22" s="33">
        <v>0.90600000000000003</v>
      </c>
      <c r="K22" s="34">
        <v>0.69299999999999995</v>
      </c>
      <c r="L22" s="33">
        <v>0.89300000000000002</v>
      </c>
      <c r="M22" s="33">
        <v>0.90800000000000003</v>
      </c>
      <c r="N22" s="72">
        <f t="shared" si="0"/>
        <v>0.79187499999999988</v>
      </c>
      <c r="O22" s="33">
        <v>1.008</v>
      </c>
      <c r="P22" s="33">
        <v>1.1619999999999999</v>
      </c>
      <c r="Q22" s="33">
        <v>1.2470000000000001</v>
      </c>
      <c r="R22" s="33">
        <v>0.97199999999999998</v>
      </c>
      <c r="S22" s="33">
        <v>0.91400000000000003</v>
      </c>
      <c r="T22" s="34">
        <v>0.76300000000000001</v>
      </c>
      <c r="U22" s="35">
        <v>0.22700000000000001</v>
      </c>
      <c r="V22" s="35">
        <v>4.2000000000000003E-2</v>
      </c>
      <c r="W22" s="63" t="s">
        <v>118</v>
      </c>
      <c r="X22" s="33">
        <v>0.86499999999999999</v>
      </c>
      <c r="Y22" s="45">
        <v>0.58499999999999996</v>
      </c>
      <c r="Z22" s="45">
        <v>0.2</v>
      </c>
      <c r="AA22" s="45">
        <v>2.8000000000000001E-2</v>
      </c>
      <c r="AB22" s="45">
        <v>1E-3</v>
      </c>
      <c r="AC22" s="45">
        <v>0.192</v>
      </c>
      <c r="AD22" s="45">
        <v>0.52400000000000002</v>
      </c>
      <c r="AE22" s="34">
        <v>0.67700000000000005</v>
      </c>
      <c r="AF22" s="45">
        <v>7.6999999999999999E-2</v>
      </c>
      <c r="AG22" s="45">
        <v>1.7000000000000001E-2</v>
      </c>
      <c r="AH22" s="33">
        <v>0.877</v>
      </c>
      <c r="AI22" s="33">
        <v>0.89200000000000002</v>
      </c>
      <c r="AJ22" s="2"/>
      <c r="AK22" s="2"/>
      <c r="AL22" s="4"/>
      <c r="AM22" s="2"/>
      <c r="AN22" s="4"/>
      <c r="AO22" s="9" t="s">
        <v>46</v>
      </c>
      <c r="AP22" s="2" t="s">
        <v>51</v>
      </c>
      <c r="AQ22" s="40">
        <v>769</v>
      </c>
      <c r="AR22" s="2" t="s">
        <v>76</v>
      </c>
      <c r="AS22" s="17">
        <v>6.3</v>
      </c>
      <c r="AT22" s="49">
        <v>0.92500000000000004</v>
      </c>
      <c r="AU22" s="33">
        <v>0.95299999999999996</v>
      </c>
      <c r="AV22" s="34">
        <v>0.69699999999999995</v>
      </c>
      <c r="AW22" s="34">
        <v>0.79400000000000004</v>
      </c>
      <c r="AX22" s="33">
        <v>0.94599999999999995</v>
      </c>
      <c r="AY22" s="33">
        <v>0.89900000000000002</v>
      </c>
      <c r="AZ22" s="33">
        <v>0.80200000000000005</v>
      </c>
      <c r="BA22" s="33">
        <v>0.82299999999999995</v>
      </c>
      <c r="BB22" s="34">
        <v>0.76400000000000001</v>
      </c>
      <c r="BC22" s="36">
        <v>0.36299999999999999</v>
      </c>
      <c r="BD22" s="35"/>
      <c r="BE22" s="35"/>
    </row>
    <row r="23" spans="1:57" ht="20.25" thickTop="1" thickBot="1" x14ac:dyDescent="0.3">
      <c r="A23" s="44" t="s">
        <v>2</v>
      </c>
      <c r="B23" s="72"/>
      <c r="C23" s="72">
        <v>0.57999999999999996</v>
      </c>
      <c r="D23" s="34">
        <v>0.58399999999999996</v>
      </c>
      <c r="E23" s="35">
        <v>0.33400000000000002</v>
      </c>
      <c r="F23" s="35">
        <v>0.34799999999999998</v>
      </c>
      <c r="G23" s="35">
        <v>0.34799999999999998</v>
      </c>
      <c r="H23" s="35">
        <v>0.39</v>
      </c>
      <c r="I23" s="34">
        <v>0.58099999999999996</v>
      </c>
      <c r="J23" s="34">
        <v>0.65600000000000003</v>
      </c>
      <c r="K23" s="34">
        <v>0.78900000000000003</v>
      </c>
      <c r="L23" s="33">
        <v>0.82199999999999995</v>
      </c>
      <c r="M23" s="33">
        <v>0.98</v>
      </c>
      <c r="N23" s="72">
        <f t="shared" si="0"/>
        <v>0.72599999999999998</v>
      </c>
      <c r="O23" s="33">
        <v>1.036</v>
      </c>
      <c r="P23" s="33">
        <v>1.1020000000000001</v>
      </c>
      <c r="Q23" s="33">
        <v>1.1839999999999999</v>
      </c>
      <c r="R23" s="33">
        <v>0.96199999999999997</v>
      </c>
      <c r="S23" s="34">
        <v>0.75800000000000001</v>
      </c>
      <c r="T23" s="34">
        <v>0.504</v>
      </c>
      <c r="U23" s="35">
        <v>0.26200000000000001</v>
      </c>
      <c r="V23" s="35">
        <v>0</v>
      </c>
      <c r="W23" s="54" t="s">
        <v>102</v>
      </c>
      <c r="X23" s="33">
        <v>1.1499999999999999</v>
      </c>
      <c r="Y23" s="45">
        <v>0.40300000000000002</v>
      </c>
      <c r="Z23" s="45">
        <v>0.18099999999999999</v>
      </c>
      <c r="AA23" s="45">
        <v>5.0999999999999997E-2</v>
      </c>
      <c r="AB23" s="45">
        <v>0.10199999999999999</v>
      </c>
      <c r="AC23" s="45">
        <v>0.126</v>
      </c>
      <c r="AD23" s="45">
        <v>0.40500000000000003</v>
      </c>
      <c r="AE23" s="33">
        <v>0.81399999999999995</v>
      </c>
      <c r="AF23" s="45">
        <v>0.21199999999999999</v>
      </c>
      <c r="AG23" s="45">
        <v>0.03</v>
      </c>
      <c r="AH23" s="33">
        <v>1.0329999999999999</v>
      </c>
      <c r="AI23" s="33">
        <v>1.069</v>
      </c>
      <c r="AJ23" s="2"/>
      <c r="AK23" s="2"/>
      <c r="AL23" s="6" t="s">
        <v>44</v>
      </c>
      <c r="AM23" s="2"/>
      <c r="AN23" s="4"/>
      <c r="AO23" s="4"/>
      <c r="AP23" s="38" t="s">
        <v>51</v>
      </c>
      <c r="AQ23" s="40">
        <v>742</v>
      </c>
      <c r="AR23" s="2" t="s">
        <v>77</v>
      </c>
      <c r="AS23" s="17">
        <v>6.1</v>
      </c>
      <c r="AT23" s="49">
        <v>1.0649999999999999</v>
      </c>
      <c r="AU23" s="33">
        <v>1.07</v>
      </c>
      <c r="AV23" s="33">
        <v>1.0049999999999999</v>
      </c>
      <c r="AW23" s="34">
        <v>0.76600000000000001</v>
      </c>
      <c r="AX23" s="34">
        <v>0.66400000000000003</v>
      </c>
      <c r="AY23" s="34">
        <v>0.57099999999999995</v>
      </c>
      <c r="AZ23" s="34">
        <v>0.48199999999999998</v>
      </c>
      <c r="BA23" s="34">
        <v>0.46800000000000003</v>
      </c>
      <c r="BB23" s="35">
        <v>7.1999999999999995E-2</v>
      </c>
      <c r="BC23" s="36"/>
      <c r="BD23" s="35"/>
      <c r="BE23" s="35"/>
    </row>
    <row r="24" spans="1:57" ht="20.25" thickTop="1" thickBot="1" x14ac:dyDescent="0.3">
      <c r="A24" s="6" t="s">
        <v>6</v>
      </c>
      <c r="B24" s="72"/>
      <c r="C24" s="72">
        <v>0.5</v>
      </c>
      <c r="D24" s="35">
        <v>0.126</v>
      </c>
      <c r="E24" s="35">
        <v>0.11799999999999999</v>
      </c>
      <c r="F24" s="35">
        <v>0.106</v>
      </c>
      <c r="G24" s="35">
        <v>0.106</v>
      </c>
      <c r="H24" s="35">
        <v>0.36099999999999999</v>
      </c>
      <c r="I24" s="34">
        <v>0.59099999999999997</v>
      </c>
      <c r="J24" s="33">
        <v>0.81</v>
      </c>
      <c r="K24" s="33">
        <v>0.92900000000000005</v>
      </c>
      <c r="L24" s="33">
        <v>0.90200000000000002</v>
      </c>
      <c r="M24" s="33">
        <v>0.97599999999999998</v>
      </c>
      <c r="N24" s="71">
        <f t="shared" si="0"/>
        <v>0.92575000000000007</v>
      </c>
      <c r="O24" s="33">
        <v>0.96799999999999997</v>
      </c>
      <c r="P24" s="33">
        <v>1.028</v>
      </c>
      <c r="Q24" s="33">
        <v>1.252</v>
      </c>
      <c r="R24" s="33">
        <v>1.3089999999999999</v>
      </c>
      <c r="S24" s="33">
        <v>1.117</v>
      </c>
      <c r="T24" s="33">
        <v>0.89500000000000002</v>
      </c>
      <c r="U24" s="34">
        <v>0.58799999999999997</v>
      </c>
      <c r="V24" s="35">
        <v>0.249</v>
      </c>
      <c r="W24" s="65" t="s">
        <v>119</v>
      </c>
      <c r="X24" s="33">
        <v>0.83199999999999996</v>
      </c>
      <c r="Y24" s="45">
        <v>0.20799999999999999</v>
      </c>
      <c r="Z24" s="45">
        <v>0.192</v>
      </c>
      <c r="AA24" s="45">
        <v>0.21199999999999999</v>
      </c>
      <c r="AB24" s="45">
        <v>0.188</v>
      </c>
      <c r="AC24" s="45">
        <v>0.18</v>
      </c>
      <c r="AD24" s="45">
        <v>0.316</v>
      </c>
      <c r="AE24" s="33">
        <v>1.02</v>
      </c>
      <c r="AF24" s="45">
        <v>0.214</v>
      </c>
      <c r="AG24" s="45">
        <v>0.253</v>
      </c>
      <c r="AH24" s="33">
        <v>1.236</v>
      </c>
      <c r="AI24" s="33">
        <v>1.075</v>
      </c>
      <c r="AJ24" s="2"/>
      <c r="AK24" s="2"/>
      <c r="AL24" s="6" t="s">
        <v>44</v>
      </c>
      <c r="AM24" s="2"/>
      <c r="AN24" s="26" t="s">
        <v>46</v>
      </c>
      <c r="AO24" s="9" t="s">
        <v>46</v>
      </c>
      <c r="AP24" s="38" t="s">
        <v>51</v>
      </c>
      <c r="AQ24" s="32">
        <v>254</v>
      </c>
      <c r="AR24" s="2" t="s">
        <v>77</v>
      </c>
      <c r="AS24" s="17">
        <v>6.1</v>
      </c>
      <c r="AT24" s="49">
        <v>1.056</v>
      </c>
      <c r="AU24" s="33">
        <v>1.075</v>
      </c>
      <c r="AV24" s="33">
        <v>0.98899999999999999</v>
      </c>
      <c r="AW24" s="33">
        <v>0.94899999999999995</v>
      </c>
      <c r="AX24" s="33">
        <v>0.94099999999999995</v>
      </c>
      <c r="AY24" s="33">
        <v>0.90900000000000003</v>
      </c>
      <c r="AZ24" s="33">
        <v>0.85199999999999998</v>
      </c>
      <c r="BA24" s="33">
        <v>0.85799999999999998</v>
      </c>
      <c r="BB24" s="35">
        <v>5.0999999999999997E-2</v>
      </c>
      <c r="BC24" s="36"/>
      <c r="BD24" s="35"/>
      <c r="BE24" s="35"/>
    </row>
    <row r="25" spans="1:57" ht="20.25" thickTop="1" thickBot="1" x14ac:dyDescent="0.3">
      <c r="A25" s="31" t="s">
        <v>10</v>
      </c>
      <c r="B25" s="72"/>
      <c r="C25" s="72">
        <v>0.61</v>
      </c>
      <c r="D25" s="34">
        <v>0.434</v>
      </c>
      <c r="E25" s="34">
        <v>0.65900000000000003</v>
      </c>
      <c r="F25" s="34">
        <v>0.68300000000000005</v>
      </c>
      <c r="G25" s="34">
        <v>0.67900000000000005</v>
      </c>
      <c r="H25" s="34">
        <v>0.433</v>
      </c>
      <c r="I25" s="34">
        <v>0.60599999999999998</v>
      </c>
      <c r="J25" s="34">
        <v>0.41599999999999998</v>
      </c>
      <c r="K25" s="34">
        <v>0.53800000000000003</v>
      </c>
      <c r="L25" s="33">
        <v>0.82399999999999995</v>
      </c>
      <c r="M25" s="33">
        <v>0.85</v>
      </c>
      <c r="N25" s="72">
        <f t="shared" si="0"/>
        <v>0.77037500000000003</v>
      </c>
      <c r="O25" s="34">
        <v>0.74399999999999999</v>
      </c>
      <c r="P25" s="33">
        <v>1.079</v>
      </c>
      <c r="Q25" s="33">
        <v>1.2869999999999999</v>
      </c>
      <c r="R25" s="33">
        <v>1.004</v>
      </c>
      <c r="S25" s="33">
        <v>0.89400000000000002</v>
      </c>
      <c r="T25" s="33">
        <v>0.80900000000000005</v>
      </c>
      <c r="U25" s="35">
        <v>0.34599999999999997</v>
      </c>
      <c r="V25" s="35">
        <v>0</v>
      </c>
      <c r="W25" s="51" t="s">
        <v>99</v>
      </c>
      <c r="X25" s="33">
        <v>1.536</v>
      </c>
      <c r="Y25" s="45">
        <v>1.01</v>
      </c>
      <c r="Z25" s="45">
        <v>0.317</v>
      </c>
      <c r="AA25" s="45">
        <v>0</v>
      </c>
      <c r="AB25" s="45">
        <v>0</v>
      </c>
      <c r="AC25" s="45">
        <v>0</v>
      </c>
      <c r="AD25" s="45">
        <v>0.60899999999999999</v>
      </c>
      <c r="AE25" s="33">
        <v>0.92500000000000004</v>
      </c>
      <c r="AF25" s="45">
        <v>0.13500000000000001</v>
      </c>
      <c r="AG25" s="45">
        <v>6.0000000000000001E-3</v>
      </c>
      <c r="AH25" s="34">
        <v>0.73</v>
      </c>
      <c r="AI25" s="33">
        <v>1.0469999999999999</v>
      </c>
      <c r="AJ25" s="2"/>
      <c r="AK25" s="2"/>
      <c r="AL25" s="4"/>
      <c r="AM25" s="2"/>
      <c r="AN25" s="4"/>
      <c r="AO25" s="9" t="s">
        <v>46</v>
      </c>
      <c r="AP25" s="2" t="s">
        <v>51</v>
      </c>
      <c r="AQ25" s="40">
        <v>527</v>
      </c>
      <c r="AR25" s="2" t="s">
        <v>77</v>
      </c>
      <c r="AS25" s="17">
        <v>6.1</v>
      </c>
      <c r="AT25" s="49">
        <v>0.88</v>
      </c>
      <c r="AU25" s="33">
        <v>0.92500000000000004</v>
      </c>
      <c r="AV25" s="33">
        <v>0.94499999999999995</v>
      </c>
      <c r="AW25" s="33">
        <v>0.80200000000000005</v>
      </c>
      <c r="AX25" s="34">
        <v>0.66400000000000003</v>
      </c>
      <c r="AY25" s="35">
        <v>0.34</v>
      </c>
      <c r="AZ25" s="35">
        <v>0.29599999999999999</v>
      </c>
      <c r="BA25" s="35">
        <v>0.3</v>
      </c>
      <c r="BB25" s="35">
        <v>9.4E-2</v>
      </c>
      <c r="BC25" s="36">
        <v>0</v>
      </c>
      <c r="BD25" s="35"/>
      <c r="BE25" s="35"/>
    </row>
    <row r="26" spans="1:57" ht="20.25" thickTop="1" thickBot="1" x14ac:dyDescent="0.3">
      <c r="A26" s="6" t="s">
        <v>12</v>
      </c>
      <c r="B26" s="72"/>
      <c r="C26" s="72">
        <v>0.71</v>
      </c>
      <c r="D26" s="34">
        <v>0.436</v>
      </c>
      <c r="E26" s="34">
        <v>0.65900000000000003</v>
      </c>
      <c r="F26" s="34">
        <v>0.70599999999999996</v>
      </c>
      <c r="G26" s="34">
        <v>0.71199999999999997</v>
      </c>
      <c r="H26" s="34">
        <v>0.74099999999999999</v>
      </c>
      <c r="I26" s="33">
        <v>0.81399999999999995</v>
      </c>
      <c r="J26" s="34">
        <v>0.71199999999999997</v>
      </c>
      <c r="K26" s="34">
        <v>0.623</v>
      </c>
      <c r="L26" s="34">
        <v>0.77500000000000002</v>
      </c>
      <c r="M26" s="33">
        <v>0.91600000000000004</v>
      </c>
      <c r="N26" s="72">
        <f t="shared" si="0"/>
        <v>0.75925000000000009</v>
      </c>
      <c r="O26" s="33">
        <v>0.92800000000000005</v>
      </c>
      <c r="P26" s="33">
        <v>0.91300000000000003</v>
      </c>
      <c r="Q26" s="33">
        <v>1.222</v>
      </c>
      <c r="R26" s="33">
        <v>1.071</v>
      </c>
      <c r="S26" s="34">
        <v>0.76600000000000001</v>
      </c>
      <c r="T26" s="34">
        <v>0.64700000000000002</v>
      </c>
      <c r="U26" s="34">
        <v>0.47399999999999998</v>
      </c>
      <c r="V26" s="35">
        <v>5.2999999999999999E-2</v>
      </c>
      <c r="W26" s="68" t="s">
        <v>111</v>
      </c>
      <c r="X26" s="34">
        <v>0.76100000000000001</v>
      </c>
      <c r="Y26" s="45">
        <v>0.124</v>
      </c>
      <c r="Z26" s="45">
        <v>0.221</v>
      </c>
      <c r="AA26" s="45">
        <v>0.192</v>
      </c>
      <c r="AB26" s="45">
        <v>0.14599999999999999</v>
      </c>
      <c r="AC26" s="45">
        <v>0.09</v>
      </c>
      <c r="AD26" s="45">
        <v>0.17299999999999999</v>
      </c>
      <c r="AE26" s="34">
        <v>0.76500000000000001</v>
      </c>
      <c r="AF26" s="45">
        <v>0.36499999999999999</v>
      </c>
      <c r="AG26" s="45">
        <v>0.112</v>
      </c>
      <c r="AH26" s="34">
        <v>0.59199999999999997</v>
      </c>
      <c r="AI26" s="33">
        <v>0.84699999999999998</v>
      </c>
      <c r="AJ26" s="2"/>
      <c r="AK26" s="2"/>
      <c r="AL26" s="6" t="s">
        <v>44</v>
      </c>
      <c r="AM26" s="2"/>
      <c r="AN26" s="4"/>
      <c r="AO26" s="37"/>
      <c r="AP26" s="38" t="s">
        <v>50</v>
      </c>
      <c r="AQ26" s="40">
        <v>503</v>
      </c>
      <c r="AR26" s="2" t="s">
        <v>78</v>
      </c>
      <c r="AS26" s="17">
        <v>6</v>
      </c>
      <c r="AT26" s="50">
        <v>0.77900000000000003</v>
      </c>
      <c r="AU26" s="34">
        <v>0.79700000000000004</v>
      </c>
      <c r="AV26" s="33">
        <v>0.85699999999999998</v>
      </c>
      <c r="AW26" s="33">
        <v>1.266</v>
      </c>
      <c r="AX26" s="33">
        <v>0.996</v>
      </c>
      <c r="AY26" s="34">
        <v>0.71199999999999997</v>
      </c>
      <c r="AZ26" s="34">
        <v>0.68300000000000005</v>
      </c>
      <c r="BA26" s="34">
        <v>0.68799999999999994</v>
      </c>
      <c r="BB26" s="34">
        <v>0.55700000000000005</v>
      </c>
      <c r="BC26" s="36">
        <v>5.8000000000000003E-2</v>
      </c>
      <c r="BD26" s="35"/>
      <c r="BE26" s="35"/>
    </row>
    <row r="27" spans="1:57" ht="20.25" thickTop="1" thickBot="1" x14ac:dyDescent="0.3">
      <c r="A27" s="31" t="s">
        <v>19</v>
      </c>
      <c r="B27" s="72"/>
      <c r="C27" s="72">
        <v>0.74</v>
      </c>
      <c r="D27" s="34">
        <v>0.46899999999999997</v>
      </c>
      <c r="E27" s="34">
        <v>0.58299999999999996</v>
      </c>
      <c r="F27" s="33">
        <v>0.82399999999999995</v>
      </c>
      <c r="G27" s="33">
        <v>0.82199999999999995</v>
      </c>
      <c r="H27" s="33">
        <v>0.84899999999999998</v>
      </c>
      <c r="I27" s="33">
        <v>0.84099999999999997</v>
      </c>
      <c r="J27" s="33">
        <v>0.81499999999999995</v>
      </c>
      <c r="K27" s="34">
        <v>0.58499999999999996</v>
      </c>
      <c r="L27" s="34">
        <v>0.77200000000000002</v>
      </c>
      <c r="M27" s="33">
        <v>0.83799999999999997</v>
      </c>
      <c r="N27" s="70">
        <f t="shared" si="0"/>
        <v>0.75737500000000013</v>
      </c>
      <c r="O27" s="33">
        <v>0.94499999999999995</v>
      </c>
      <c r="P27" s="33">
        <v>1.24</v>
      </c>
      <c r="Q27" s="33">
        <v>1.2809999999999999</v>
      </c>
      <c r="R27" s="33">
        <v>0.92700000000000005</v>
      </c>
      <c r="S27" s="34">
        <v>0.79</v>
      </c>
      <c r="T27" s="34">
        <v>0.65500000000000003</v>
      </c>
      <c r="U27" s="35">
        <v>0.182</v>
      </c>
      <c r="V27" s="35">
        <v>3.9E-2</v>
      </c>
      <c r="W27" s="62" t="s">
        <v>113</v>
      </c>
      <c r="X27" s="33">
        <v>0.90800000000000003</v>
      </c>
      <c r="Y27" s="45">
        <v>0.42799999999999999</v>
      </c>
      <c r="Z27" s="45">
        <v>0.13500000000000001</v>
      </c>
      <c r="AA27" s="45">
        <v>0.13</v>
      </c>
      <c r="AB27" s="45">
        <v>9.7000000000000003E-2</v>
      </c>
      <c r="AC27" s="45">
        <v>5.8999999999999997E-2</v>
      </c>
      <c r="AD27" s="45">
        <v>0.36199999999999999</v>
      </c>
      <c r="AE27" s="33">
        <v>0.89400000000000002</v>
      </c>
      <c r="AF27" s="45">
        <v>0.44700000000000001</v>
      </c>
      <c r="AG27" s="45">
        <v>2.1000000000000001E-2</v>
      </c>
      <c r="AH27" s="33">
        <v>0.88800000000000001</v>
      </c>
      <c r="AI27" s="33">
        <v>0.98399999999999999</v>
      </c>
      <c r="AJ27" s="2"/>
      <c r="AK27" s="2"/>
      <c r="AL27" s="4"/>
      <c r="AM27" s="2"/>
      <c r="AN27" s="26" t="s">
        <v>46</v>
      </c>
      <c r="AO27" s="9" t="s">
        <v>46</v>
      </c>
      <c r="AP27" s="2" t="s">
        <v>52</v>
      </c>
      <c r="AQ27" s="40">
        <v>631</v>
      </c>
      <c r="AR27" s="2" t="s">
        <v>78</v>
      </c>
      <c r="AS27" s="17">
        <v>6</v>
      </c>
      <c r="AT27" s="49">
        <v>0.94599999999999995</v>
      </c>
      <c r="AU27" s="33">
        <v>0.995</v>
      </c>
      <c r="AV27" s="33">
        <v>0.95399999999999996</v>
      </c>
      <c r="AW27" s="33">
        <v>0.878</v>
      </c>
      <c r="AX27" s="34">
        <v>0.73699999999999999</v>
      </c>
      <c r="AY27" s="34">
        <v>0.628</v>
      </c>
      <c r="AZ27" s="34">
        <v>0.56000000000000005</v>
      </c>
      <c r="BA27" s="34">
        <v>0.57099999999999995</v>
      </c>
      <c r="BB27" s="35">
        <v>0.15</v>
      </c>
      <c r="BC27" s="36"/>
      <c r="BD27" s="35"/>
      <c r="BE27" s="35"/>
    </row>
    <row r="28" spans="1:57" ht="20.25" thickTop="1" thickBot="1" x14ac:dyDescent="0.3">
      <c r="A28" s="31" t="s">
        <v>8</v>
      </c>
      <c r="B28" s="71"/>
      <c r="C28" s="71">
        <v>0.89</v>
      </c>
      <c r="D28" s="33">
        <v>0.92300000000000004</v>
      </c>
      <c r="E28" s="33">
        <v>0.82</v>
      </c>
      <c r="F28" s="33">
        <v>0.877</v>
      </c>
      <c r="G28" s="33">
        <v>0.88</v>
      </c>
      <c r="H28" s="33">
        <v>0.88100000000000001</v>
      </c>
      <c r="I28" s="33">
        <v>0.89200000000000002</v>
      </c>
      <c r="J28" s="33">
        <v>0.98399999999999999</v>
      </c>
      <c r="K28" s="34">
        <v>0.78500000000000003</v>
      </c>
      <c r="L28" s="33">
        <v>0.877</v>
      </c>
      <c r="M28" s="33">
        <v>0.97299999999999998</v>
      </c>
      <c r="N28" s="70">
        <f t="shared" si="0"/>
        <v>0.76287499999999997</v>
      </c>
      <c r="O28" s="33">
        <v>1.147</v>
      </c>
      <c r="P28" s="33">
        <v>1.0840000000000001</v>
      </c>
      <c r="Q28" s="33">
        <v>1.1479999999999999</v>
      </c>
      <c r="R28" s="33">
        <v>1.012</v>
      </c>
      <c r="S28" s="34">
        <v>0.71099999999999997</v>
      </c>
      <c r="T28" s="34">
        <v>0.42299999999999999</v>
      </c>
      <c r="U28" s="35">
        <v>0.34499999999999997</v>
      </c>
      <c r="V28" s="35">
        <v>0.23300000000000001</v>
      </c>
      <c r="W28" s="53" t="s">
        <v>101</v>
      </c>
      <c r="X28" s="33">
        <v>1.2130000000000001</v>
      </c>
      <c r="Y28" s="45">
        <v>0.28499999999999998</v>
      </c>
      <c r="Z28" s="45">
        <v>0.16700000000000001</v>
      </c>
      <c r="AA28" s="45">
        <v>3.3000000000000002E-2</v>
      </c>
      <c r="AB28" s="45">
        <v>0.58499999999999996</v>
      </c>
      <c r="AC28" s="45">
        <v>0.35899999999999999</v>
      </c>
      <c r="AD28" s="45">
        <v>0.3</v>
      </c>
      <c r="AE28" s="33">
        <v>0.88900000000000001</v>
      </c>
      <c r="AF28" s="45">
        <v>0.442</v>
      </c>
      <c r="AG28" s="45">
        <v>7.8E-2</v>
      </c>
      <c r="AH28" s="34">
        <v>0.61199999999999999</v>
      </c>
      <c r="AI28" s="33">
        <v>0.80500000000000005</v>
      </c>
      <c r="AJ28" s="2"/>
      <c r="AK28" s="2"/>
      <c r="AL28" s="4"/>
      <c r="AM28" s="2"/>
      <c r="AN28" s="26" t="s">
        <v>46</v>
      </c>
      <c r="AO28" s="9" t="s">
        <v>46</v>
      </c>
      <c r="AP28" s="2" t="s">
        <v>52</v>
      </c>
      <c r="AQ28" s="40">
        <v>815</v>
      </c>
      <c r="AR28" s="2" t="s">
        <v>79</v>
      </c>
      <c r="AS28" s="42">
        <v>5.5</v>
      </c>
      <c r="AT28" s="49">
        <v>0.94599999999999995</v>
      </c>
      <c r="AU28" s="33">
        <v>0.98799999999999999</v>
      </c>
      <c r="AV28" s="33">
        <v>1.0249999999999999</v>
      </c>
      <c r="AW28" s="33">
        <v>1.552</v>
      </c>
      <c r="AX28" s="33">
        <v>1.4550000000000001</v>
      </c>
      <c r="AY28" s="33">
        <v>1.1539999999999999</v>
      </c>
      <c r="AZ28" s="33">
        <v>0.94399999999999995</v>
      </c>
      <c r="BA28" s="33">
        <v>0.97399999999999998</v>
      </c>
      <c r="BB28" s="33">
        <v>0.89500000000000002</v>
      </c>
      <c r="BC28" s="36">
        <v>0.23200000000000001</v>
      </c>
      <c r="BD28" s="35"/>
      <c r="BE28" s="35"/>
    </row>
    <row r="29" spans="1:57" ht="20.25" thickTop="1" thickBot="1" x14ac:dyDescent="0.3">
      <c r="A29" s="43" t="s">
        <v>20</v>
      </c>
      <c r="B29" s="72"/>
      <c r="C29" s="72">
        <v>0.64</v>
      </c>
      <c r="D29" s="34">
        <v>0.46100000000000002</v>
      </c>
      <c r="E29" s="34">
        <v>0.59099999999999997</v>
      </c>
      <c r="F29" s="34">
        <v>0.78500000000000003</v>
      </c>
      <c r="G29" s="34">
        <v>0.78</v>
      </c>
      <c r="H29" s="34">
        <v>0.69099999999999995</v>
      </c>
      <c r="I29" s="34">
        <v>0.61899999999999999</v>
      </c>
      <c r="J29" s="34">
        <v>0.56899999999999995</v>
      </c>
      <c r="K29" s="34">
        <v>0.42199999999999999</v>
      </c>
      <c r="L29" s="34">
        <v>0.66800000000000004</v>
      </c>
      <c r="M29" s="33">
        <v>0.80300000000000005</v>
      </c>
      <c r="N29" s="70">
        <f t="shared" si="0"/>
        <v>0.79012500000000008</v>
      </c>
      <c r="O29" s="33">
        <v>0.83699999999999997</v>
      </c>
      <c r="P29" s="33">
        <v>1.1299999999999999</v>
      </c>
      <c r="Q29" s="33">
        <v>1.248</v>
      </c>
      <c r="R29" s="33">
        <v>1.048</v>
      </c>
      <c r="S29" s="33">
        <v>0.84599999999999997</v>
      </c>
      <c r="T29" s="34">
        <v>0.75900000000000001</v>
      </c>
      <c r="U29" s="35">
        <v>0.34</v>
      </c>
      <c r="V29" s="35">
        <v>0.113</v>
      </c>
      <c r="W29" s="66" t="s">
        <v>120</v>
      </c>
      <c r="X29" s="34">
        <v>0.79200000000000004</v>
      </c>
      <c r="Y29" s="45">
        <v>0.11899999999999999</v>
      </c>
      <c r="Z29" s="45">
        <v>0.223</v>
      </c>
      <c r="AA29" s="45">
        <v>0.19</v>
      </c>
      <c r="AB29" s="45">
        <v>0.22600000000000001</v>
      </c>
      <c r="AC29" s="45">
        <v>6.9000000000000006E-2</v>
      </c>
      <c r="AD29" s="45">
        <v>0.27800000000000002</v>
      </c>
      <c r="AE29" s="34">
        <v>0.748</v>
      </c>
      <c r="AF29" s="45">
        <v>0.25900000000000001</v>
      </c>
      <c r="AG29" s="45">
        <v>7.5999999999999998E-2</v>
      </c>
      <c r="AH29" s="33">
        <v>0.89200000000000002</v>
      </c>
      <c r="AI29" s="33">
        <v>0.92</v>
      </c>
      <c r="AJ29" s="2"/>
      <c r="AK29" s="2"/>
      <c r="AL29" s="4"/>
      <c r="AM29" s="2"/>
      <c r="AN29" s="26" t="s">
        <v>46</v>
      </c>
      <c r="AO29" s="9" t="s">
        <v>46</v>
      </c>
      <c r="AP29" s="2" t="s">
        <v>52</v>
      </c>
      <c r="AQ29" s="40">
        <v>902</v>
      </c>
      <c r="AR29" s="2" t="s">
        <v>80</v>
      </c>
      <c r="AS29" s="42">
        <v>5.4</v>
      </c>
      <c r="AT29" s="49">
        <v>0.81299999999999994</v>
      </c>
      <c r="AU29" s="33">
        <v>0.88700000000000001</v>
      </c>
      <c r="AV29" s="33">
        <v>0.95</v>
      </c>
      <c r="AW29" s="33">
        <v>1.0389999999999999</v>
      </c>
      <c r="AX29" s="34">
        <v>0.55500000000000005</v>
      </c>
      <c r="AY29" s="34">
        <v>0.47799999999999998</v>
      </c>
      <c r="AZ29" s="34">
        <v>0.45600000000000002</v>
      </c>
      <c r="BA29" s="34">
        <v>0.46300000000000002</v>
      </c>
      <c r="BB29" s="35">
        <v>0.20699999999999999</v>
      </c>
      <c r="BC29" s="36">
        <v>0</v>
      </c>
      <c r="BD29" s="35"/>
      <c r="BE29" s="35"/>
    </row>
    <row r="30" spans="1:57" ht="16.5" thickTop="1" thickBot="1" x14ac:dyDescent="0.3"/>
    <row r="31" spans="1:57" ht="20.25" thickTop="1" thickBot="1" x14ac:dyDescent="0.3">
      <c r="AG31" s="82" t="s">
        <v>53</v>
      </c>
      <c r="AH31" s="83"/>
      <c r="AI31" s="83"/>
      <c r="AJ31" s="83"/>
      <c r="AK31" s="83"/>
      <c r="AL31" s="83"/>
      <c r="AM31" s="83"/>
      <c r="AN31" s="84"/>
      <c r="AS31" s="82" t="s">
        <v>53</v>
      </c>
      <c r="AT31" s="83"/>
      <c r="AU31" s="85"/>
      <c r="AV31" s="85"/>
      <c r="AW31" s="86"/>
    </row>
    <row r="32" spans="1:57" ht="20.25" thickTop="1" thickBot="1" x14ac:dyDescent="0.3">
      <c r="AG32" s="11"/>
      <c r="AH32" s="12" t="s">
        <v>61</v>
      </c>
      <c r="AI32" s="75" t="s">
        <v>54</v>
      </c>
      <c r="AJ32" s="75"/>
      <c r="AK32" s="75"/>
      <c r="AL32" s="75"/>
      <c r="AM32" s="75"/>
      <c r="AN32" s="75"/>
      <c r="AS32" s="10"/>
      <c r="AT32" s="46"/>
      <c r="AU32" s="87" t="s">
        <v>58</v>
      </c>
      <c r="AV32" s="88"/>
      <c r="AW32" s="89"/>
    </row>
    <row r="33" spans="33:49" ht="20.25" thickTop="1" thickBot="1" x14ac:dyDescent="0.3">
      <c r="AG33" s="13"/>
      <c r="AH33" s="12" t="s">
        <v>62</v>
      </c>
      <c r="AI33" s="75" t="s">
        <v>55</v>
      </c>
      <c r="AJ33" s="75"/>
      <c r="AK33" s="75"/>
      <c r="AL33" s="75"/>
      <c r="AM33" s="75"/>
      <c r="AN33" s="75"/>
      <c r="AR33" s="14"/>
      <c r="AS33" s="7"/>
      <c r="AT33" s="47"/>
      <c r="AU33" s="90" t="s">
        <v>59</v>
      </c>
      <c r="AV33" s="91"/>
      <c r="AW33" s="92"/>
    </row>
    <row r="34" spans="33:49" ht="20.25" thickTop="1" thickBot="1" x14ac:dyDescent="0.3">
      <c r="AG34" s="15"/>
      <c r="AH34" s="12" t="s">
        <v>63</v>
      </c>
      <c r="AI34" s="75" t="s">
        <v>56</v>
      </c>
      <c r="AJ34" s="75"/>
      <c r="AK34" s="75"/>
      <c r="AL34" s="75"/>
      <c r="AM34" s="75"/>
      <c r="AN34" s="75"/>
      <c r="AR34" s="14"/>
      <c r="AS34" s="8"/>
      <c r="AT34" s="48"/>
      <c r="AU34" s="87" t="s">
        <v>60</v>
      </c>
      <c r="AV34" s="88"/>
      <c r="AW34" s="89"/>
    </row>
    <row r="35" spans="33:49" ht="17.25" thickTop="1" thickBot="1" x14ac:dyDescent="0.3">
      <c r="AG35" s="16"/>
      <c r="AH35" s="12" t="s">
        <v>64</v>
      </c>
      <c r="AI35" s="75" t="s">
        <v>57</v>
      </c>
      <c r="AJ35" s="75"/>
      <c r="AK35" s="75"/>
      <c r="AL35" s="75"/>
      <c r="AM35" s="75"/>
      <c r="AN35" s="75"/>
    </row>
    <row r="36" spans="33:49" ht="15.75" thickTop="1" x14ac:dyDescent="0.25"/>
  </sheetData>
  <sortState xmlns:xlrd2="http://schemas.microsoft.com/office/spreadsheetml/2017/richdata2" ref="A4:BH29">
    <sortCondition descending="1" ref="AS4:AS29"/>
  </sortState>
  <mergeCells count="16">
    <mergeCell ref="AI35:AN35"/>
    <mergeCell ref="AG31:AN31"/>
    <mergeCell ref="AS31:AW31"/>
    <mergeCell ref="AU32:AW32"/>
    <mergeCell ref="AU33:AW33"/>
    <mergeCell ref="AU34:AW34"/>
    <mergeCell ref="AI32:AN32"/>
    <mergeCell ref="AI33:AN33"/>
    <mergeCell ref="AI34:AN34"/>
    <mergeCell ref="AL1:BD1"/>
    <mergeCell ref="AR2:AR3"/>
    <mergeCell ref="A1:A3"/>
    <mergeCell ref="E1:L1"/>
    <mergeCell ref="O1:U1"/>
    <mergeCell ref="Y1:AI1"/>
    <mergeCell ref="W2:W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Regina Aparecida Pieruchi</cp:lastModifiedBy>
  <dcterms:created xsi:type="dcterms:W3CDTF">2024-05-27T21:49:39Z</dcterms:created>
  <dcterms:modified xsi:type="dcterms:W3CDTF">2025-12-16T18:01:01Z</dcterms:modified>
</cp:coreProperties>
</file>
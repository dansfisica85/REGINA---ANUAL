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.pieruchi\Desktop\"/>
    </mc:Choice>
  </mc:AlternateContent>
  <xr:revisionPtr revIDLastSave="0" documentId="13_ncr:1_{40E208DF-E141-4056-B5E7-C31E891E5E02}" xr6:coauthVersionLast="47" xr6:coauthVersionMax="47" xr10:uidLastSave="{00000000-0000-0000-0000-000000000000}"/>
  <bookViews>
    <workbookView xWindow="-120" yWindow="-120" windowWidth="29040" windowHeight="15840" xr2:uid="{A913360B-ABA4-474C-A115-2935233947B5}"/>
  </bookViews>
  <sheets>
    <sheet name="MATIF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</calcChain>
</file>

<file path=xl/sharedStrings.xml><?xml version="1.0" encoding="utf-8"?>
<sst xmlns="http://schemas.openxmlformats.org/spreadsheetml/2006/main" count="189" uniqueCount="118">
  <si>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</si>
  <si>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</si>
  <si>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</si>
  <si>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</si>
  <si>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</si>
  <si>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</si>
  <si>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</si>
  <si>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</si>
  <si>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</si>
  <si>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</si>
  <si>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</si>
  <si>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</si>
  <si>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</si>
  <si>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</si>
  <si>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</si>
  <si>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</si>
  <si>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</si>
  <si>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</si>
  <si>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</si>
  <si>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</si>
  <si>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</si>
  <si>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</si>
  <si>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</si>
  <si>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</si>
  <si>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</si>
  <si>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</si>
  <si>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</si>
  <si>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</si>
  <si>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</si>
  <si>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</si>
  <si>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</si>
  <si>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</si>
  <si>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</si>
  <si>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1º BIM</t>
  </si>
  <si>
    <t>S 27</t>
  </si>
  <si>
    <t>S 28</t>
  </si>
  <si>
    <t>S 29</t>
  </si>
  <si>
    <t>S 30</t>
  </si>
  <si>
    <t>3°BIM</t>
  </si>
  <si>
    <t>3º 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</si>
  <si>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</si>
  <si>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</si>
  <si>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</si>
  <si>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</si>
  <si>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</si>
  <si>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</si>
  <si>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</si>
  <si>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</si>
  <si>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</si>
  <si>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</si>
  <si>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</si>
  <si>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</si>
  <si>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</si>
  <si>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</si>
  <si>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</si>
  <si>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</si>
  <si>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</si>
  <si>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LEGENDA</t>
  </si>
  <si>
    <t>INSATISFATÓRIO</t>
  </si>
  <si>
    <t>REGULAR</t>
  </si>
  <si>
    <t>EXCELENTE</t>
  </si>
  <si>
    <t>DE 1 À 499 ALUNOS</t>
  </si>
  <si>
    <t>DE 500 À 999 ALUNOS</t>
  </si>
  <si>
    <t>DE 1000 PARA CIMA</t>
  </si>
  <si>
    <t>Classificação</t>
  </si>
  <si>
    <t>1°</t>
  </si>
  <si>
    <t>3°</t>
  </si>
  <si>
    <t>2°</t>
  </si>
  <si>
    <t>4°</t>
  </si>
  <si>
    <t>8°</t>
  </si>
  <si>
    <t>9°</t>
  </si>
  <si>
    <t>5°</t>
  </si>
  <si>
    <t>6°</t>
  </si>
  <si>
    <t>7°</t>
  </si>
  <si>
    <t>10°</t>
  </si>
  <si>
    <t>11°</t>
  </si>
  <si>
    <t>12°</t>
  </si>
  <si>
    <t>13°</t>
  </si>
  <si>
    <t>14°</t>
  </si>
  <si>
    <t>15°</t>
  </si>
  <si>
    <t>16°</t>
  </si>
  <si>
    <t>17°</t>
  </si>
  <si>
    <t>0,0 À 1,99</t>
  </si>
  <si>
    <t>2,0 À 2,99</t>
  </si>
  <si>
    <t>3 ou mais</t>
  </si>
  <si>
    <t>ESCOLAS ESCRITO EM ROXO NÃO BATERAM META OU TEM ÍNDICE ATÉ 3,5.</t>
  </si>
  <si>
    <t>MATIFIC  2025 DA SEMANA 01 ATÉ 10 - 1º BIMESTRE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</si>
  <si>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</si>
  <si>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</si>
  <si>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</si>
  <si>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</si>
  <si>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</si>
  <si>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</si>
  <si>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</si>
  <si>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</si>
  <si>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</si>
  <si>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MATIFIC  2025 DA SEMANA 11 ATÉ  21  - 2º BIMESTRE</t>
  </si>
  <si>
    <t>S20</t>
  </si>
  <si>
    <t>S 21</t>
  </si>
  <si>
    <t>2º BIM</t>
  </si>
  <si>
    <t>S31</t>
  </si>
  <si>
    <t>S32</t>
  </si>
  <si>
    <t>S33</t>
  </si>
  <si>
    <t>S34</t>
  </si>
  <si>
    <t>S35</t>
  </si>
  <si>
    <t>PLATAFORMA MATIFIC 3°BIMESTRE SEMANA 27 A 34</t>
  </si>
  <si>
    <t>S36</t>
  </si>
  <si>
    <t xml:space="preserve">Plataforma MATIFIC 4º BIM da semana 35  até a </t>
  </si>
  <si>
    <t>S37</t>
  </si>
  <si>
    <t>S38</t>
  </si>
  <si>
    <t>S 39</t>
  </si>
  <si>
    <t>S 40</t>
  </si>
  <si>
    <t>S 41</t>
  </si>
  <si>
    <t>S42</t>
  </si>
  <si>
    <t>S43</t>
  </si>
  <si>
    <t>S44</t>
  </si>
  <si>
    <t>4º BIM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</si>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</sst>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9900CC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medium">
        <color rgb="FF0000FF"/>
      </bottom>
      <diagonal/>
    </border>
    <border>
      <left/>
      <right/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/>
      <right/>
      <top style="thick">
        <color rgb="FF0000FF"/>
      </top>
      <bottom/>
      <diagonal/>
    </border>
    <border>
      <left/>
      <right/>
      <top style="thick">
        <color rgb="FF0000FF"/>
      </top>
      <bottom style="medium">
        <color indexed="64"/>
      </bottom>
      <diagonal/>
    </border>
    <border>
      <left/>
      <right style="thick">
        <color rgb="FF0000FF"/>
      </right>
      <top style="thick">
        <color rgb="FF0000FF"/>
      </top>
      <bottom style="medium">
        <color indexed="64"/>
      </bottom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medium">
        <color indexed="64"/>
      </top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medium">
        <color indexed="64"/>
      </top>
      <bottom/>
      <diagonal/>
    </border>
    <border>
      <left style="thick">
        <color rgb="FF0000FF"/>
      </left>
      <right style="thick">
        <color rgb="FF0000FF"/>
      </right>
      <top style="medium">
        <color rgb="FF0000FF"/>
      </top>
      <bottom/>
      <diagonal/>
    </border>
    <border>
      <left style="thick">
        <color rgb="FF0000FF"/>
      </left>
      <right style="thick">
        <color rgb="FF0000FF"/>
      </right>
      <top style="medium">
        <color indexed="64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/>
      <diagonal/>
    </border>
    <border>
      <left style="thick">
        <color rgb="FF0000FF"/>
      </left>
      <right style="thick">
        <color rgb="FF0000FF"/>
      </right>
      <top style="medium">
        <color rgb="FF0000FF"/>
      </top>
      <bottom style="medium">
        <color rgb="FF0000FF"/>
      </bottom>
      <diagonal/>
    </border>
    <border>
      <left style="thick">
        <color rgb="FF0000FF"/>
      </left>
      <right style="thick">
        <color rgb="FF0000FF"/>
      </right>
      <top style="medium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medium">
        <color indexed="64"/>
      </bottom>
      <diagonal/>
    </border>
    <border>
      <left style="thick">
        <color rgb="FF0000FF"/>
      </left>
      <right/>
      <top style="thick">
        <color rgb="FF0000FF"/>
      </top>
      <bottom style="medium">
        <color rgb="FF0000FF"/>
      </bottom>
      <diagonal/>
    </border>
    <border>
      <left/>
      <right/>
      <top style="thick">
        <color rgb="FF0000FF"/>
      </top>
      <bottom style="medium">
        <color rgb="FF0000FF"/>
      </bottom>
      <diagonal/>
    </border>
    <border>
      <left/>
      <right style="thick">
        <color rgb="FF0000FF"/>
      </right>
      <top style="thick">
        <color rgb="FF0000FF"/>
      </top>
      <bottom style="medium">
        <color rgb="FF0000FF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16" borderId="4" xfId="0" applyFont="1" applyFill="1" applyBorder="1" applyAlignment="1">
      <alignment horizontal="center"/>
    </xf>
    <xf numFmtId="0" fontId="3" fillId="17" borderId="8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/>
    </xf>
    <xf numFmtId="0" fontId="1" fillId="3" borderId="6" xfId="0" applyFont="1" applyFill="1" applyBorder="1"/>
    <xf numFmtId="0" fontId="1" fillId="0" borderId="6" xfId="0" applyFont="1" applyBorder="1" applyAlignment="1">
      <alignment horizontal="center"/>
    </xf>
    <xf numFmtId="0" fontId="1" fillId="2" borderId="6" xfId="0" applyFont="1" applyFill="1" applyBorder="1"/>
    <xf numFmtId="0" fontId="1" fillId="4" borderId="6" xfId="0" applyFont="1" applyFill="1" applyBorder="1"/>
    <xf numFmtId="0" fontId="0" fillId="0" borderId="10" xfId="0" applyBorder="1"/>
    <xf numFmtId="0" fontId="0" fillId="0" borderId="2" xfId="0" applyBorder="1"/>
    <xf numFmtId="0" fontId="1" fillId="0" borderId="0" xfId="0" applyFont="1"/>
    <xf numFmtId="0" fontId="0" fillId="0" borderId="9" xfId="0" applyBorder="1"/>
    <xf numFmtId="0" fontId="0" fillId="0" borderId="15" xfId="0" applyBorder="1"/>
    <xf numFmtId="0" fontId="1" fillId="0" borderId="3" xfId="0" applyFont="1" applyBorder="1"/>
    <xf numFmtId="0" fontId="0" fillId="0" borderId="12" xfId="0" applyBorder="1"/>
    <xf numFmtId="0" fontId="1" fillId="0" borderId="2" xfId="0" applyFont="1" applyBorder="1"/>
    <xf numFmtId="0" fontId="4" fillId="9" borderId="1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16" fontId="3" fillId="7" borderId="20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16" fontId="3" fillId="9" borderId="21" xfId="0" applyNumberFormat="1" applyFont="1" applyFill="1" applyBorder="1" applyAlignment="1">
      <alignment horizontal="center" vertical="center"/>
    </xf>
    <xf numFmtId="16" fontId="3" fillId="9" borderId="6" xfId="0" applyNumberFormat="1" applyFont="1" applyFill="1" applyBorder="1" applyAlignment="1">
      <alignment horizontal="center" vertical="center"/>
    </xf>
    <xf numFmtId="16" fontId="3" fillId="6" borderId="6" xfId="0" applyNumberFormat="1" applyFont="1" applyFill="1" applyBorder="1" applyAlignment="1">
      <alignment horizontal="center" vertical="center"/>
    </xf>
    <xf numFmtId="16" fontId="3" fillId="7" borderId="6" xfId="0" applyNumberFormat="1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16" fontId="3" fillId="8" borderId="21" xfId="0" applyNumberFormat="1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10" borderId="30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0" fontId="3" fillId="5" borderId="28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3" fillId="5" borderId="27" xfId="0" applyFont="1" applyFill="1" applyBorder="1" applyAlignment="1">
      <alignment horizontal="left" vertical="center"/>
    </xf>
    <xf numFmtId="0" fontId="3" fillId="11" borderId="2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3" fillId="20" borderId="26" xfId="0" applyFont="1" applyFill="1" applyBorder="1" applyAlignment="1">
      <alignment horizontal="center" vertical="center"/>
    </xf>
    <xf numFmtId="0" fontId="3" fillId="20" borderId="22" xfId="0" applyFont="1" applyFill="1" applyBorder="1" applyAlignment="1">
      <alignment horizontal="center" vertical="center"/>
    </xf>
    <xf numFmtId="0" fontId="3" fillId="20" borderId="29" xfId="0" applyFont="1" applyFill="1" applyBorder="1" applyAlignment="1">
      <alignment horizontal="center" vertical="center"/>
    </xf>
    <xf numFmtId="0" fontId="3" fillId="20" borderId="30" xfId="0" applyFont="1" applyFill="1" applyBorder="1" applyAlignment="1">
      <alignment horizontal="center" vertical="center"/>
    </xf>
    <xf numFmtId="0" fontId="3" fillId="20" borderId="8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2" fontId="3" fillId="7" borderId="20" xfId="0" applyNumberFormat="1" applyFont="1" applyFill="1" applyBorder="1" applyAlignment="1">
      <alignment horizontal="center" vertical="center"/>
    </xf>
    <xf numFmtId="2" fontId="3" fillId="7" borderId="6" xfId="0" applyNumberFormat="1" applyFont="1" applyFill="1" applyBorder="1" applyAlignment="1">
      <alignment horizontal="center" vertical="center"/>
    </xf>
    <xf numFmtId="2" fontId="3" fillId="20" borderId="26" xfId="0" applyNumberFormat="1" applyFont="1" applyFill="1" applyBorder="1" applyAlignment="1">
      <alignment horizontal="center" vertical="center"/>
    </xf>
    <xf numFmtId="2" fontId="3" fillId="20" borderId="8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3" fillId="2" borderId="23" xfId="0" applyNumberFormat="1" applyFont="1" applyFill="1" applyBorder="1" applyAlignment="1">
      <alignment horizontal="center" vertical="center"/>
    </xf>
    <xf numFmtId="2" fontId="3" fillId="4" borderId="23" xfId="0" applyNumberFormat="1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3" fillId="20" borderId="22" xfId="0" applyNumberFormat="1" applyFont="1" applyFill="1" applyBorder="1" applyAlignment="1">
      <alignment horizontal="center" vertical="center"/>
    </xf>
    <xf numFmtId="2" fontId="7" fillId="10" borderId="22" xfId="0" applyNumberFormat="1" applyFont="1" applyFill="1" applyBorder="1" applyAlignment="1">
      <alignment horizontal="center" vertical="center"/>
    </xf>
    <xf numFmtId="2" fontId="10" fillId="10" borderId="22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8" fillId="10" borderId="2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CC99FF"/>
      <color rgb="FF9900CC"/>
      <color rgb="FFCC00FF"/>
      <color rgb="FF003192"/>
      <color rgb="FF0000FF"/>
      <color rgb="FFFF3300"/>
      <color rgb="FFCC6600"/>
      <color rgb="FF99FF66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A38"/>
  <sheetViews>
    <sheetView tabSelected="1" workbookViewId="0">
      <pane xSplit="1" topLeftCell="B1" activePane="topRight" state="frozen"/>
      <selection pane="topRight" activeCell="B5" sqref="B5"/>
    </sheetView>
  </sheetViews>
  <sheetFormatPr defaultRowHeight="15" x14ac:dyDescent="0.25"/>
  <cols>
    <col min="1" max="1" width="38.85546875" bestFit="1" customWidth="1"/>
    <col min="2" max="2" width="9.42578125" bestFit="1" customWidth="1"/>
    <col min="3" max="3" width="9.140625" bestFit="1" customWidth="1"/>
    <col min="4" max="4" width="9.28515625" bestFit="1" customWidth="1"/>
    <col min="5" max="9" width="9.42578125" bestFit="1" customWidth="1"/>
    <col min="10" max="12" width="9.140625" bestFit="1" customWidth="1"/>
    <col min="13" max="13" width="0.28515625" hidden="1" customWidth="1"/>
    <col min="14" max="14" width="9.140625" bestFit="1" customWidth="1"/>
    <col min="15" max="15" width="9.28515625" customWidth="1"/>
    <col min="16" max="18" width="8.85546875" bestFit="1" customWidth="1"/>
    <col min="19" max="19" width="9.85546875" bestFit="1" customWidth="1"/>
    <col min="20" max="23" width="9.28515625" bestFit="1" customWidth="1"/>
    <col min="24" max="24" width="10.5703125" style="95" customWidth="1"/>
    <col min="25" max="32" width="10.42578125" customWidth="1"/>
    <col min="33" max="33" width="9.42578125" bestFit="1" customWidth="1"/>
    <col min="34" max="35" width="9" bestFit="1" customWidth="1"/>
    <col min="36" max="36" width="4.28515625" bestFit="1" customWidth="1"/>
    <col min="37" max="37" width="16.42578125" hidden="1" customWidth="1"/>
    <col min="38" max="39" width="4.85546875" bestFit="1" customWidth="1"/>
    <col min="40" max="40" width="7.28515625" bestFit="1" customWidth="1"/>
    <col min="41" max="41" width="8.28515625" bestFit="1" customWidth="1"/>
    <col min="42" max="42" width="14.5703125" bestFit="1" customWidth="1"/>
    <col min="43" max="43" width="8.28515625" bestFit="1" customWidth="1"/>
    <col min="44" max="45" width="9" bestFit="1" customWidth="1"/>
    <col min="46" max="50" width="9.7109375" bestFit="1" customWidth="1"/>
    <col min="51" max="53" width="8.85546875" bestFit="1" customWidth="1"/>
  </cols>
  <sheetData>
    <row r="1" spans="1:53" ht="22.5" thickTop="1" thickBot="1" x14ac:dyDescent="0.3">
      <c r="A1" s="121" t="s">
        <v>0</v>
      </c>
      <c r="B1" s="16" t="s">
        <v>40</v>
      </c>
      <c r="C1" s="129" t="s">
        <v>107</v>
      </c>
      <c r="D1" s="130"/>
      <c r="E1" s="130"/>
      <c r="F1" s="130"/>
      <c r="G1" s="130"/>
      <c r="H1" s="130"/>
      <c r="I1" s="130"/>
      <c r="J1" s="130"/>
      <c r="K1" s="130"/>
      <c r="L1" s="130"/>
      <c r="M1" s="131"/>
      <c r="N1" s="16" t="s">
        <v>40</v>
      </c>
      <c r="O1" s="17" t="s">
        <v>39</v>
      </c>
      <c r="P1" s="129" t="s">
        <v>105</v>
      </c>
      <c r="Q1" s="130"/>
      <c r="R1" s="130"/>
      <c r="S1" s="130"/>
      <c r="T1" s="130"/>
      <c r="U1" s="130"/>
      <c r="V1" s="131"/>
      <c r="W1" s="17" t="s">
        <v>39</v>
      </c>
      <c r="X1" s="126" t="s">
        <v>96</v>
      </c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8"/>
      <c r="AJ1" s="116" t="s">
        <v>86</v>
      </c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8"/>
    </row>
    <row r="2" spans="1:53" ht="20.25" thickTop="1" thickBot="1" x14ac:dyDescent="0.3">
      <c r="A2" s="122"/>
      <c r="B2" s="18" t="s">
        <v>45</v>
      </c>
      <c r="C2" s="18" t="s">
        <v>45</v>
      </c>
      <c r="D2" s="18" t="s">
        <v>115</v>
      </c>
      <c r="E2" s="18" t="s">
        <v>114</v>
      </c>
      <c r="F2" s="19" t="s">
        <v>113</v>
      </c>
      <c r="G2" s="19" t="s">
        <v>112</v>
      </c>
      <c r="H2" s="19" t="s">
        <v>111</v>
      </c>
      <c r="I2" s="19" t="s">
        <v>110</v>
      </c>
      <c r="J2" s="19" t="s">
        <v>109</v>
      </c>
      <c r="K2" s="19" t="s">
        <v>108</v>
      </c>
      <c r="L2" s="19" t="s">
        <v>106</v>
      </c>
      <c r="M2" s="20"/>
      <c r="N2" s="19" t="s">
        <v>104</v>
      </c>
      <c r="O2" s="20" t="s">
        <v>45</v>
      </c>
      <c r="P2" s="20" t="s">
        <v>103</v>
      </c>
      <c r="Q2" s="20" t="s">
        <v>102</v>
      </c>
      <c r="R2" s="20" t="s">
        <v>101</v>
      </c>
      <c r="S2" s="20" t="s">
        <v>100</v>
      </c>
      <c r="T2" s="21" t="s">
        <v>37</v>
      </c>
      <c r="U2" s="21" t="s">
        <v>36</v>
      </c>
      <c r="V2" s="21" t="s">
        <v>35</v>
      </c>
      <c r="W2" s="21" t="s">
        <v>34</v>
      </c>
      <c r="X2" s="91" t="s">
        <v>45</v>
      </c>
      <c r="Y2" s="22" t="s">
        <v>98</v>
      </c>
      <c r="Z2" s="22" t="s">
        <v>97</v>
      </c>
      <c r="AA2" s="22" t="s">
        <v>95</v>
      </c>
      <c r="AB2" s="22" t="s">
        <v>94</v>
      </c>
      <c r="AC2" s="22" t="s">
        <v>93</v>
      </c>
      <c r="AD2" s="23" t="s">
        <v>92</v>
      </c>
      <c r="AE2" s="23" t="s">
        <v>91</v>
      </c>
      <c r="AF2" s="23" t="s">
        <v>90</v>
      </c>
      <c r="AG2" s="23" t="s">
        <v>89</v>
      </c>
      <c r="AH2" s="22" t="s">
        <v>88</v>
      </c>
      <c r="AI2" s="22" t="s">
        <v>87</v>
      </c>
      <c r="AJ2" s="24" t="s">
        <v>47</v>
      </c>
      <c r="AK2" s="25"/>
      <c r="AL2" s="26" t="s">
        <v>51</v>
      </c>
      <c r="AM2" s="27" t="s">
        <v>49</v>
      </c>
      <c r="AN2" s="119" t="s">
        <v>52</v>
      </c>
      <c r="AO2" s="120"/>
      <c r="AP2" s="124" t="s">
        <v>64</v>
      </c>
      <c r="AQ2" s="28" t="s">
        <v>45</v>
      </c>
      <c r="AR2" s="29" t="s">
        <v>32</v>
      </c>
      <c r="AS2" s="29" t="s">
        <v>31</v>
      </c>
      <c r="AT2" s="29" t="s">
        <v>30</v>
      </c>
      <c r="AU2" s="29" t="s">
        <v>29</v>
      </c>
      <c r="AV2" s="29" t="s">
        <v>28</v>
      </c>
      <c r="AW2" s="29" t="s">
        <v>44</v>
      </c>
      <c r="AX2" s="29" t="s">
        <v>27</v>
      </c>
      <c r="AY2" s="29" t="s">
        <v>43</v>
      </c>
      <c r="AZ2" s="29" t="s">
        <v>42</v>
      </c>
      <c r="BA2" s="29" t="s">
        <v>41</v>
      </c>
    </row>
    <row r="3" spans="1:53" ht="20.25" thickTop="1" thickBot="1" x14ac:dyDescent="0.3">
      <c r="A3" s="123"/>
      <c r="B3" s="30" t="s">
        <v>117</v>
      </c>
      <c r="C3" s="30" t="s">
        <v>116</v>
      </c>
      <c r="D3" s="30">
        <v>45997</v>
      </c>
      <c r="E3" s="30">
        <v>45990</v>
      </c>
      <c r="F3" s="31">
        <v>45983</v>
      </c>
      <c r="G3" s="31">
        <v>45976</v>
      </c>
      <c r="H3" s="31">
        <v>45969</v>
      </c>
      <c r="I3" s="31">
        <v>45962</v>
      </c>
      <c r="J3" s="31">
        <v>45955</v>
      </c>
      <c r="K3" s="31">
        <v>45948</v>
      </c>
      <c r="L3" s="31">
        <v>45941</v>
      </c>
      <c r="M3" s="32"/>
      <c r="N3" s="31">
        <v>45934</v>
      </c>
      <c r="O3" s="32" t="s">
        <v>38</v>
      </c>
      <c r="P3" s="32">
        <v>45927</v>
      </c>
      <c r="Q3" s="32">
        <v>45920</v>
      </c>
      <c r="R3" s="32">
        <v>45913</v>
      </c>
      <c r="S3" s="32">
        <v>45906</v>
      </c>
      <c r="T3" s="32">
        <v>45899</v>
      </c>
      <c r="U3" s="32">
        <v>45892</v>
      </c>
      <c r="V3" s="32">
        <v>45885</v>
      </c>
      <c r="W3" s="32">
        <v>45878</v>
      </c>
      <c r="X3" s="92" t="s">
        <v>99</v>
      </c>
      <c r="Y3" s="33">
        <v>45836</v>
      </c>
      <c r="Z3" s="33">
        <v>45829</v>
      </c>
      <c r="AA3" s="33">
        <v>45822</v>
      </c>
      <c r="AB3" s="33">
        <v>45815</v>
      </c>
      <c r="AC3" s="33">
        <v>45808</v>
      </c>
      <c r="AD3" s="33">
        <v>45801</v>
      </c>
      <c r="AE3" s="33">
        <v>45794</v>
      </c>
      <c r="AF3" s="33">
        <v>45787</v>
      </c>
      <c r="AG3" s="33">
        <v>45780</v>
      </c>
      <c r="AH3" s="33">
        <v>45773</v>
      </c>
      <c r="AI3" s="33">
        <v>45766</v>
      </c>
      <c r="AJ3" s="34"/>
      <c r="AK3" s="34"/>
      <c r="AL3" s="34"/>
      <c r="AM3" s="34"/>
      <c r="AN3" s="34" t="s">
        <v>53</v>
      </c>
      <c r="AO3" s="34" t="s">
        <v>46</v>
      </c>
      <c r="AP3" s="125"/>
      <c r="AQ3" s="36" t="s">
        <v>33</v>
      </c>
      <c r="AR3" s="37">
        <v>45759</v>
      </c>
      <c r="AS3" s="37">
        <v>45752</v>
      </c>
      <c r="AT3" s="37">
        <v>45745</v>
      </c>
      <c r="AU3" s="37">
        <v>45738</v>
      </c>
      <c r="AV3" s="37">
        <v>45731</v>
      </c>
      <c r="AW3" s="37">
        <v>45724</v>
      </c>
      <c r="AX3" s="37">
        <v>45717</v>
      </c>
      <c r="AY3" s="37">
        <v>45710</v>
      </c>
      <c r="AZ3" s="37">
        <v>45703</v>
      </c>
      <c r="BA3" s="37">
        <v>45696</v>
      </c>
    </row>
    <row r="4" spans="1:53" ht="20.25" thickTop="1" thickBot="1" x14ac:dyDescent="0.3">
      <c r="A4" s="71" t="s">
        <v>11</v>
      </c>
      <c r="B4" s="38"/>
      <c r="C4" s="102">
        <f>SUM(D4:N4)/10</f>
        <v>3.0695000000000006</v>
      </c>
      <c r="D4" s="51">
        <v>2.3029999999999999</v>
      </c>
      <c r="E4" s="98">
        <v>2.242</v>
      </c>
      <c r="F4" s="98">
        <v>3.8180000000000001</v>
      </c>
      <c r="G4" s="51">
        <v>2.3940000000000001</v>
      </c>
      <c r="H4" s="53">
        <v>1.5449999999999999</v>
      </c>
      <c r="I4" s="51">
        <v>3.8180000000000001</v>
      </c>
      <c r="J4" s="51">
        <v>2.0299999999999998</v>
      </c>
      <c r="K4" s="51">
        <v>5.8179999999999996</v>
      </c>
      <c r="L4" s="51">
        <v>3.6360000000000001</v>
      </c>
      <c r="M4" s="38"/>
      <c r="N4" s="51">
        <v>3.0910000000000002</v>
      </c>
      <c r="O4" s="102">
        <f>SUM(P4:W4)/8</f>
        <v>3.7082499999999996</v>
      </c>
      <c r="P4" s="51">
        <v>3.879</v>
      </c>
      <c r="Q4" s="51">
        <v>4</v>
      </c>
      <c r="R4" s="51">
        <v>3.3940000000000001</v>
      </c>
      <c r="S4" s="51">
        <v>3</v>
      </c>
      <c r="T4" s="98">
        <v>2.6669999999999998</v>
      </c>
      <c r="U4" s="98">
        <v>2.8479999999999999</v>
      </c>
      <c r="V4" s="98">
        <v>3.5449999999999999</v>
      </c>
      <c r="W4" s="98">
        <v>6.3330000000000002</v>
      </c>
      <c r="X4" s="97">
        <f>SUM(Y4:AI4)/11</f>
        <v>6.2912727272727276</v>
      </c>
      <c r="Y4" s="89">
        <v>3.3029999999999999</v>
      </c>
      <c r="Z4" s="89">
        <v>5.7670000000000003</v>
      </c>
      <c r="AA4" s="89">
        <v>5.133</v>
      </c>
      <c r="AB4" s="76">
        <v>3.1</v>
      </c>
      <c r="AC4" s="76">
        <v>7</v>
      </c>
      <c r="AD4" s="76">
        <v>6.5</v>
      </c>
      <c r="AE4" s="44">
        <v>7.4669999999999996</v>
      </c>
      <c r="AF4" s="44">
        <v>10.933</v>
      </c>
      <c r="AG4" s="44">
        <v>7.4669999999999996</v>
      </c>
      <c r="AH4" s="44">
        <v>7.2670000000000003</v>
      </c>
      <c r="AI4" s="44">
        <v>5.2670000000000003</v>
      </c>
      <c r="AJ4" s="40"/>
      <c r="AK4" s="34"/>
      <c r="AL4" s="40"/>
      <c r="AM4" s="57" t="s">
        <v>50</v>
      </c>
      <c r="AN4" s="34" t="s">
        <v>54</v>
      </c>
      <c r="AO4" s="42">
        <v>50</v>
      </c>
      <c r="AP4" s="34" t="s">
        <v>65</v>
      </c>
      <c r="AQ4" s="43">
        <v>4.99</v>
      </c>
      <c r="AR4" s="44">
        <v>5.4</v>
      </c>
      <c r="AS4" s="44">
        <v>7.9669999999999996</v>
      </c>
      <c r="AT4" s="44">
        <v>8.7669999999999995</v>
      </c>
      <c r="AU4" s="44">
        <v>8.5329999999999995</v>
      </c>
      <c r="AV4" s="44">
        <v>4.7</v>
      </c>
      <c r="AW4" s="64">
        <v>1.133</v>
      </c>
      <c r="AX4" s="44">
        <v>4.867</v>
      </c>
      <c r="AY4" s="44">
        <v>5.3</v>
      </c>
      <c r="AZ4" s="44">
        <v>3.2330000000000001</v>
      </c>
      <c r="BA4" s="45"/>
    </row>
    <row r="5" spans="1:53" ht="20.25" thickTop="1" thickBot="1" x14ac:dyDescent="0.3">
      <c r="A5" s="73" t="s">
        <v>7</v>
      </c>
      <c r="B5" s="38"/>
      <c r="C5" s="102">
        <f t="shared" ref="C5:C20" si="0">SUM(D5:N5)/10</f>
        <v>5.2521000000000004</v>
      </c>
      <c r="D5" s="51">
        <v>6.1360000000000001</v>
      </c>
      <c r="E5" s="51">
        <v>3.8690000000000002</v>
      </c>
      <c r="F5" s="53">
        <v>1.4430000000000001</v>
      </c>
      <c r="G5" s="51">
        <v>3.8570000000000002</v>
      </c>
      <c r="H5" s="53">
        <v>1.5249999999999999</v>
      </c>
      <c r="I5" s="51">
        <v>4.8339999999999996</v>
      </c>
      <c r="J5" s="51">
        <v>6.8879999999999999</v>
      </c>
      <c r="K5" s="51">
        <v>7.9169999999999998</v>
      </c>
      <c r="L5" s="51">
        <v>6.7779999999999996</v>
      </c>
      <c r="M5" s="38"/>
      <c r="N5" s="51">
        <v>9.2739999999999991</v>
      </c>
      <c r="O5" s="102">
        <f t="shared" ref="O5:O20" si="1">SUM(P5:W5)/8</f>
        <v>8.6453749999999996</v>
      </c>
      <c r="P5" s="51">
        <v>9.6379999999999999</v>
      </c>
      <c r="Q5" s="51">
        <v>6.5220000000000002</v>
      </c>
      <c r="R5" s="51">
        <v>9.3710000000000004</v>
      </c>
      <c r="S5" s="51">
        <v>11.349</v>
      </c>
      <c r="T5" s="51">
        <v>7.9189999999999996</v>
      </c>
      <c r="U5" s="44">
        <v>7.4489999999999998</v>
      </c>
      <c r="V5" s="44">
        <v>7.9960000000000004</v>
      </c>
      <c r="W5" s="44">
        <v>8.9190000000000005</v>
      </c>
      <c r="X5" s="97">
        <f t="shared" ref="X5:X20" si="2">SUM(Y5:AI5)/11</f>
        <v>8.3311818181818182</v>
      </c>
      <c r="Y5" s="44">
        <v>11.301</v>
      </c>
      <c r="Z5" s="44">
        <v>7.3179999999999996</v>
      </c>
      <c r="AA5" s="44">
        <v>7.1260000000000003</v>
      </c>
      <c r="AB5" s="51">
        <v>21.568999999999999</v>
      </c>
      <c r="AC5" s="51">
        <v>7.766</v>
      </c>
      <c r="AD5" s="51">
        <v>7.7320000000000002</v>
      </c>
      <c r="AE5" s="51">
        <v>5.008</v>
      </c>
      <c r="AF5" s="51">
        <v>6.0039999999999996</v>
      </c>
      <c r="AG5" s="51">
        <v>5.8150000000000004</v>
      </c>
      <c r="AH5" s="51">
        <v>5.4059999999999997</v>
      </c>
      <c r="AI5" s="51">
        <v>6.5979999999999999</v>
      </c>
      <c r="AJ5" s="39" t="s">
        <v>48</v>
      </c>
      <c r="AK5" s="34"/>
      <c r="AL5" s="46"/>
      <c r="AM5" s="47"/>
      <c r="AN5" s="48" t="s">
        <v>54</v>
      </c>
      <c r="AO5" s="49">
        <v>396</v>
      </c>
      <c r="AP5" s="35" t="s">
        <v>67</v>
      </c>
      <c r="AQ5" s="50">
        <v>3.0310000000000001</v>
      </c>
      <c r="AR5" s="51">
        <v>4.766</v>
      </c>
      <c r="AS5" s="51">
        <v>4.399</v>
      </c>
      <c r="AT5" s="51">
        <v>4.851</v>
      </c>
      <c r="AU5" s="51">
        <v>4.673</v>
      </c>
      <c r="AV5" s="53">
        <v>1.262</v>
      </c>
      <c r="AW5" s="53">
        <v>1.383</v>
      </c>
      <c r="AX5" s="51">
        <v>3.855</v>
      </c>
      <c r="AY5" s="51">
        <v>4.335</v>
      </c>
      <c r="AZ5" s="52">
        <v>0.74399999999999999</v>
      </c>
      <c r="BA5" s="52">
        <v>8.0000000000000002E-3</v>
      </c>
    </row>
    <row r="6" spans="1:53" ht="20.25" thickTop="1" thickBot="1" x14ac:dyDescent="0.3">
      <c r="A6" s="68" t="s">
        <v>8</v>
      </c>
      <c r="B6" s="38"/>
      <c r="C6" s="102">
        <f t="shared" si="0"/>
        <v>3.1726999999999999</v>
      </c>
      <c r="D6" s="53">
        <v>1.002</v>
      </c>
      <c r="E6" s="51">
        <v>3.6949999999999998</v>
      </c>
      <c r="F6" s="53">
        <v>1.9419999999999999</v>
      </c>
      <c r="G6" s="51">
        <v>2.323</v>
      </c>
      <c r="H6" s="51">
        <v>2.6070000000000002</v>
      </c>
      <c r="I6" s="51">
        <v>3.9369999999999998</v>
      </c>
      <c r="J6" s="51">
        <v>3.6030000000000002</v>
      </c>
      <c r="K6" s="51">
        <v>4.4420000000000002</v>
      </c>
      <c r="L6" s="51">
        <v>4.3230000000000004</v>
      </c>
      <c r="M6" s="38"/>
      <c r="N6" s="51">
        <v>3.8530000000000002</v>
      </c>
      <c r="O6" s="102">
        <f t="shared" si="1"/>
        <v>5.1421250000000001</v>
      </c>
      <c r="P6" s="51">
        <v>3.786</v>
      </c>
      <c r="Q6" s="51">
        <v>4.0490000000000004</v>
      </c>
      <c r="R6" s="51">
        <v>4.2880000000000003</v>
      </c>
      <c r="S6" s="51">
        <v>5.0140000000000002</v>
      </c>
      <c r="T6" s="51">
        <v>10.564</v>
      </c>
      <c r="U6" s="51">
        <v>4.2699999999999996</v>
      </c>
      <c r="V6" s="51">
        <v>4.6040000000000001</v>
      </c>
      <c r="W6" s="51">
        <v>4.5620000000000003</v>
      </c>
      <c r="X6" s="97">
        <f t="shared" si="2"/>
        <v>6.1777272727272727</v>
      </c>
      <c r="Y6" s="51">
        <v>18.021000000000001</v>
      </c>
      <c r="Z6" s="51">
        <v>8.41</v>
      </c>
      <c r="AA6" s="51">
        <v>8.4659999999999993</v>
      </c>
      <c r="AB6" s="51">
        <v>8.016</v>
      </c>
      <c r="AC6" s="51">
        <v>4.0890000000000004</v>
      </c>
      <c r="AD6" s="51">
        <v>4.7969999999999997</v>
      </c>
      <c r="AE6" s="51">
        <v>3.786</v>
      </c>
      <c r="AF6" s="51">
        <v>3.9279999999999999</v>
      </c>
      <c r="AG6" s="51">
        <v>2.3039999999999998</v>
      </c>
      <c r="AH6" s="51">
        <v>3.492</v>
      </c>
      <c r="AI6" s="51">
        <v>2.6459999999999999</v>
      </c>
      <c r="AJ6" s="40"/>
      <c r="AK6" s="34"/>
      <c r="AL6" s="26" t="s">
        <v>50</v>
      </c>
      <c r="AM6" s="27" t="s">
        <v>50</v>
      </c>
      <c r="AN6" s="35" t="s">
        <v>56</v>
      </c>
      <c r="AO6" s="54">
        <v>815</v>
      </c>
      <c r="AP6" s="35" t="s">
        <v>66</v>
      </c>
      <c r="AQ6" s="50">
        <v>2.637</v>
      </c>
      <c r="AR6" s="51">
        <v>3.0790000000000002</v>
      </c>
      <c r="AS6" s="51">
        <v>2.8279999999999998</v>
      </c>
      <c r="AT6" s="51">
        <v>3.1930000000000001</v>
      </c>
      <c r="AU6" s="51">
        <v>3.0649999999999999</v>
      </c>
      <c r="AV6" s="51">
        <v>2.6219999999999999</v>
      </c>
      <c r="AW6" s="51">
        <v>2.3010000000000002</v>
      </c>
      <c r="AX6" s="51">
        <v>3.1139999999999999</v>
      </c>
      <c r="AY6" s="51">
        <v>3.702</v>
      </c>
      <c r="AZ6" s="51">
        <v>2.343</v>
      </c>
      <c r="BA6" s="52">
        <v>0.124</v>
      </c>
    </row>
    <row r="7" spans="1:53" ht="20.25" thickTop="1" thickBot="1" x14ac:dyDescent="0.3">
      <c r="A7" s="72" t="s">
        <v>17</v>
      </c>
      <c r="B7" s="38"/>
      <c r="C7" s="103">
        <f t="shared" si="0"/>
        <v>1.6095999999999999</v>
      </c>
      <c r="D7" s="52">
        <v>0.30299999999999999</v>
      </c>
      <c r="E7" s="52">
        <v>0.73299999999999998</v>
      </c>
      <c r="F7" s="52">
        <v>0.76500000000000001</v>
      </c>
      <c r="G7" s="53">
        <v>1.4350000000000001</v>
      </c>
      <c r="H7" s="53">
        <v>1.56</v>
      </c>
      <c r="I7" s="53">
        <v>1.621</v>
      </c>
      <c r="J7" s="53">
        <v>1.4239999999999999</v>
      </c>
      <c r="K7" s="53">
        <v>1.6359999999999999</v>
      </c>
      <c r="L7" s="51">
        <v>3.58</v>
      </c>
      <c r="M7" s="38"/>
      <c r="N7" s="51">
        <v>3.0390000000000001</v>
      </c>
      <c r="O7" s="102">
        <f t="shared" si="1"/>
        <v>4.1608749999999999</v>
      </c>
      <c r="P7" s="51">
        <v>2.25</v>
      </c>
      <c r="Q7" s="51">
        <v>2.48</v>
      </c>
      <c r="R7" s="51">
        <v>2.9569999999999999</v>
      </c>
      <c r="S7" s="51">
        <v>3.141</v>
      </c>
      <c r="T7" s="87">
        <v>9.0909999999999993</v>
      </c>
      <c r="U7" s="87">
        <v>3.38</v>
      </c>
      <c r="V7" s="87">
        <v>3.774</v>
      </c>
      <c r="W7" s="87">
        <v>6.2140000000000004</v>
      </c>
      <c r="X7" s="97">
        <f t="shared" si="2"/>
        <v>4.7855454545454545</v>
      </c>
      <c r="Y7" s="87">
        <v>4.2510000000000003</v>
      </c>
      <c r="Z7" s="87">
        <v>5.8390000000000004</v>
      </c>
      <c r="AA7" s="87">
        <v>6.19</v>
      </c>
      <c r="AB7" s="87">
        <v>6.2329999999999997</v>
      </c>
      <c r="AC7" s="87">
        <v>5.1429999999999998</v>
      </c>
      <c r="AD7" s="51">
        <v>5.9660000000000002</v>
      </c>
      <c r="AE7" s="51">
        <v>5.4</v>
      </c>
      <c r="AF7" s="51">
        <v>5.048</v>
      </c>
      <c r="AG7" s="51">
        <v>3.077</v>
      </c>
      <c r="AH7" s="51">
        <v>3.3809999999999998</v>
      </c>
      <c r="AI7" s="51">
        <v>2.113</v>
      </c>
      <c r="AJ7" s="39" t="s">
        <v>48</v>
      </c>
      <c r="AK7" s="34"/>
      <c r="AL7" s="46"/>
      <c r="AM7" s="47"/>
      <c r="AN7" s="48" t="s">
        <v>55</v>
      </c>
      <c r="AO7" s="54">
        <v>521</v>
      </c>
      <c r="AP7" s="35" t="s">
        <v>68</v>
      </c>
      <c r="AQ7" s="50">
        <v>2.6219999999999999</v>
      </c>
      <c r="AR7" s="51">
        <v>4.2960000000000003</v>
      </c>
      <c r="AS7" s="51">
        <v>2.923</v>
      </c>
      <c r="AT7" s="51">
        <v>4.3600000000000003</v>
      </c>
      <c r="AU7" s="51">
        <v>4.4950000000000001</v>
      </c>
      <c r="AV7" s="51">
        <v>2.9140000000000001</v>
      </c>
      <c r="AW7" s="53">
        <v>1.1180000000000001</v>
      </c>
      <c r="AX7" s="51">
        <v>2.4</v>
      </c>
      <c r="AY7" s="53">
        <v>1.8440000000000001</v>
      </c>
      <c r="AZ7" s="53">
        <v>1.579</v>
      </c>
      <c r="BA7" s="52">
        <v>0.29199999999999998</v>
      </c>
    </row>
    <row r="8" spans="1:53" ht="20.25" thickTop="1" thickBot="1" x14ac:dyDescent="0.3">
      <c r="A8" s="74" t="s">
        <v>6</v>
      </c>
      <c r="B8" s="38"/>
      <c r="C8" s="102">
        <f t="shared" si="0"/>
        <v>2.2488999999999999</v>
      </c>
      <c r="D8" s="53">
        <v>1.37</v>
      </c>
      <c r="E8" s="52">
        <v>0.81200000000000006</v>
      </c>
      <c r="F8" s="52">
        <v>0.77</v>
      </c>
      <c r="G8" s="53">
        <v>1.4179999999999999</v>
      </c>
      <c r="H8" s="53">
        <v>1.6559999999999999</v>
      </c>
      <c r="I8" s="53">
        <v>1.3069999999999999</v>
      </c>
      <c r="J8" s="51">
        <v>3.2090000000000001</v>
      </c>
      <c r="K8" s="51">
        <v>3.2320000000000002</v>
      </c>
      <c r="L8" s="51">
        <v>3.794</v>
      </c>
      <c r="M8" s="38"/>
      <c r="N8" s="51">
        <v>4.9210000000000003</v>
      </c>
      <c r="O8" s="102">
        <f t="shared" si="1"/>
        <v>4.9450000000000003</v>
      </c>
      <c r="P8" s="51">
        <v>4.6159999999999997</v>
      </c>
      <c r="Q8" s="51">
        <v>3.9630000000000001</v>
      </c>
      <c r="R8" s="51">
        <v>4.2009999999999996</v>
      </c>
      <c r="S8" s="51">
        <v>4.6950000000000003</v>
      </c>
      <c r="T8" s="87">
        <v>4.8179999999999996</v>
      </c>
      <c r="U8" s="87">
        <v>4.7759999999999998</v>
      </c>
      <c r="V8" s="87">
        <v>5.915</v>
      </c>
      <c r="W8" s="87">
        <v>6.5759999999999996</v>
      </c>
      <c r="X8" s="97">
        <f t="shared" si="2"/>
        <v>4.8901818181818193</v>
      </c>
      <c r="Y8" s="87">
        <v>5.8120000000000003</v>
      </c>
      <c r="Z8" s="87">
        <v>7.0990000000000002</v>
      </c>
      <c r="AA8" s="87">
        <v>6.8819999999999997</v>
      </c>
      <c r="AB8" s="87">
        <v>7.2480000000000002</v>
      </c>
      <c r="AC8" s="87">
        <v>4.4720000000000004</v>
      </c>
      <c r="AD8" s="87">
        <v>5.4909999999999997</v>
      </c>
      <c r="AE8" s="51">
        <v>4.7270000000000003</v>
      </c>
      <c r="AF8" s="51">
        <v>3.84</v>
      </c>
      <c r="AG8" s="51">
        <v>3.9140000000000001</v>
      </c>
      <c r="AH8" s="52">
        <v>0.82799999999999996</v>
      </c>
      <c r="AI8" s="51">
        <v>3.4790000000000001</v>
      </c>
      <c r="AJ8" s="39" t="s">
        <v>48</v>
      </c>
      <c r="AK8" s="34"/>
      <c r="AL8" s="26" t="s">
        <v>50</v>
      </c>
      <c r="AM8" s="27" t="s">
        <v>50</v>
      </c>
      <c r="AN8" s="48" t="s">
        <v>55</v>
      </c>
      <c r="AO8" s="49">
        <v>254</v>
      </c>
      <c r="AP8" s="35" t="s">
        <v>71</v>
      </c>
      <c r="AQ8" s="50">
        <v>2.38</v>
      </c>
      <c r="AR8" s="51">
        <v>5.46</v>
      </c>
      <c r="AS8" s="51">
        <v>2.8769999999999998</v>
      </c>
      <c r="AT8" s="51">
        <v>3.1720000000000002</v>
      </c>
      <c r="AU8" s="51">
        <v>2.35</v>
      </c>
      <c r="AV8" s="51">
        <v>2.3740000000000001</v>
      </c>
      <c r="AW8" s="52">
        <v>0.71199999999999997</v>
      </c>
      <c r="AX8" s="51">
        <v>2.464</v>
      </c>
      <c r="AY8" s="51">
        <v>2.4169999999999998</v>
      </c>
      <c r="AZ8" s="53">
        <v>1.546</v>
      </c>
      <c r="BA8" s="52">
        <v>0.432</v>
      </c>
    </row>
    <row r="9" spans="1:53" ht="20.25" thickTop="1" thickBot="1" x14ac:dyDescent="0.3">
      <c r="A9" s="67" t="s">
        <v>12</v>
      </c>
      <c r="B9" s="38"/>
      <c r="C9" s="102">
        <f t="shared" si="0"/>
        <v>5.4244000000000003</v>
      </c>
      <c r="D9" s="51">
        <v>3.4079999999999999</v>
      </c>
      <c r="E9" s="51">
        <v>6.3959999999999999</v>
      </c>
      <c r="F9" s="51">
        <v>6.242</v>
      </c>
      <c r="G9" s="51">
        <v>3.0230000000000001</v>
      </c>
      <c r="H9" s="51">
        <v>3.6139999999999999</v>
      </c>
      <c r="I9" s="51">
        <v>6.2350000000000003</v>
      </c>
      <c r="J9" s="51">
        <v>5.6820000000000004</v>
      </c>
      <c r="K9" s="51">
        <v>7.2919999999999998</v>
      </c>
      <c r="L9" s="51">
        <v>6.3029999999999999</v>
      </c>
      <c r="M9" s="38"/>
      <c r="N9" s="51">
        <v>6.0490000000000004</v>
      </c>
      <c r="O9" s="102">
        <f t="shared" si="1"/>
        <v>5.0922499999999999</v>
      </c>
      <c r="P9" s="51">
        <v>5.9470000000000001</v>
      </c>
      <c r="Q9" s="51">
        <v>2.3570000000000002</v>
      </c>
      <c r="R9" s="51">
        <v>5.0190000000000001</v>
      </c>
      <c r="S9" s="51">
        <v>4.0339999999999998</v>
      </c>
      <c r="T9" s="87">
        <v>5.4669999999999996</v>
      </c>
      <c r="U9" s="87">
        <v>5.2960000000000003</v>
      </c>
      <c r="V9" s="87">
        <v>6.1369999999999996</v>
      </c>
      <c r="W9" s="87">
        <v>6.4809999999999999</v>
      </c>
      <c r="X9" s="97">
        <f t="shared" si="2"/>
        <v>5.3713636363636361</v>
      </c>
      <c r="Y9" s="87">
        <v>10.247999999999999</v>
      </c>
      <c r="Z9" s="87">
        <v>7.2569999999999997</v>
      </c>
      <c r="AA9" s="87">
        <v>4.5389999999999997</v>
      </c>
      <c r="AB9" s="87">
        <v>5.0069999999999997</v>
      </c>
      <c r="AC9" s="87">
        <v>5.2640000000000002</v>
      </c>
      <c r="AD9" s="87">
        <v>6.3639999999999999</v>
      </c>
      <c r="AE9" s="51">
        <v>4.42</v>
      </c>
      <c r="AF9" s="51">
        <v>3.9420000000000002</v>
      </c>
      <c r="AG9" s="51">
        <v>4.2389999999999999</v>
      </c>
      <c r="AH9" s="51">
        <v>3.6850000000000001</v>
      </c>
      <c r="AI9" s="51">
        <v>4.12</v>
      </c>
      <c r="AJ9" s="39" t="s">
        <v>48</v>
      </c>
      <c r="AK9" s="34"/>
      <c r="AL9" s="46"/>
      <c r="AM9" s="47"/>
      <c r="AN9" s="48" t="s">
        <v>54</v>
      </c>
      <c r="AO9" s="54">
        <v>503</v>
      </c>
      <c r="AP9" s="35" t="s">
        <v>72</v>
      </c>
      <c r="AQ9" s="50">
        <v>2.2509999999999999</v>
      </c>
      <c r="AR9" s="51">
        <v>3.5129999999999999</v>
      </c>
      <c r="AS9" s="52">
        <v>0.35399999999999998</v>
      </c>
      <c r="AT9" s="51">
        <v>2.5489999999999999</v>
      </c>
      <c r="AU9" s="51">
        <v>2.5489999999999999</v>
      </c>
      <c r="AV9" s="51">
        <v>3.6059999999999999</v>
      </c>
      <c r="AW9" s="53">
        <v>1.4770000000000001</v>
      </c>
      <c r="AX9" s="51">
        <v>4.1230000000000002</v>
      </c>
      <c r="AY9" s="51">
        <v>3.173</v>
      </c>
      <c r="AZ9" s="53">
        <v>1.155</v>
      </c>
      <c r="BA9" s="52">
        <v>1.4E-2</v>
      </c>
    </row>
    <row r="10" spans="1:53" ht="20.25" thickTop="1" thickBot="1" x14ac:dyDescent="0.3">
      <c r="A10" s="66" t="s">
        <v>23</v>
      </c>
      <c r="B10" s="38"/>
      <c r="C10" s="102">
        <f t="shared" si="0"/>
        <v>3.8336000000000006</v>
      </c>
      <c r="D10" s="53">
        <v>1.861</v>
      </c>
      <c r="E10" s="51">
        <v>4.4340000000000002</v>
      </c>
      <c r="F10" s="51">
        <v>2.5819999999999999</v>
      </c>
      <c r="G10" s="51">
        <v>3.7970000000000002</v>
      </c>
      <c r="H10" s="51">
        <v>3.1110000000000002</v>
      </c>
      <c r="I10" s="51">
        <v>4.6109999999999998</v>
      </c>
      <c r="J10" s="51">
        <v>3.3170000000000002</v>
      </c>
      <c r="K10" s="51">
        <v>4.234</v>
      </c>
      <c r="L10" s="51">
        <v>5.73</v>
      </c>
      <c r="M10" s="38"/>
      <c r="N10" s="51">
        <v>4.6589999999999998</v>
      </c>
      <c r="O10" s="102">
        <f t="shared" si="1"/>
        <v>6.1873749999999994</v>
      </c>
      <c r="P10" s="51">
        <v>4.8970000000000002</v>
      </c>
      <c r="Q10" s="51">
        <v>5.6829999999999998</v>
      </c>
      <c r="R10" s="51">
        <v>5.2859999999999996</v>
      </c>
      <c r="S10" s="51">
        <v>4.8250000000000002</v>
      </c>
      <c r="T10" s="87">
        <v>9.3040000000000003</v>
      </c>
      <c r="U10" s="87">
        <v>6.4560000000000004</v>
      </c>
      <c r="V10" s="87">
        <v>6.5039999999999996</v>
      </c>
      <c r="W10" s="87">
        <v>6.5439999999999996</v>
      </c>
      <c r="X10" s="97">
        <f t="shared" si="2"/>
        <v>9.0873636363636354</v>
      </c>
      <c r="Y10" s="87">
        <v>13.464</v>
      </c>
      <c r="Z10" s="87">
        <v>11.695</v>
      </c>
      <c r="AA10" s="87">
        <v>11.864000000000001</v>
      </c>
      <c r="AB10" s="87">
        <v>9.2200000000000006</v>
      </c>
      <c r="AC10" s="87">
        <v>9.6609999999999996</v>
      </c>
      <c r="AD10" s="87">
        <v>8.0340000000000007</v>
      </c>
      <c r="AE10" s="51">
        <v>6.5339999999999998</v>
      </c>
      <c r="AF10" s="51">
        <v>8.8569999999999993</v>
      </c>
      <c r="AG10" s="51">
        <v>8.64</v>
      </c>
      <c r="AH10" s="51">
        <v>7.008</v>
      </c>
      <c r="AI10" s="51">
        <v>4.984</v>
      </c>
      <c r="AJ10" s="39" t="s">
        <v>48</v>
      </c>
      <c r="AK10" s="34"/>
      <c r="AL10" s="46"/>
      <c r="AM10" s="47"/>
      <c r="AN10" s="41" t="s">
        <v>55</v>
      </c>
      <c r="AO10" s="49">
        <v>236</v>
      </c>
      <c r="AP10" s="35" t="s">
        <v>73</v>
      </c>
      <c r="AQ10" s="50">
        <v>2.1520000000000001</v>
      </c>
      <c r="AR10" s="51">
        <v>4.7969999999999997</v>
      </c>
      <c r="AS10" s="51">
        <v>4.375</v>
      </c>
      <c r="AT10" s="53">
        <v>1.9610000000000001</v>
      </c>
      <c r="AU10" s="51">
        <v>2.3439999999999999</v>
      </c>
      <c r="AV10" s="51">
        <v>3.2890000000000001</v>
      </c>
      <c r="AW10" s="53">
        <v>1.109</v>
      </c>
      <c r="AX10" s="51">
        <v>2.1560000000000001</v>
      </c>
      <c r="AY10" s="52">
        <v>0.72699999999999998</v>
      </c>
      <c r="AZ10" s="52">
        <v>0.76600000000000001</v>
      </c>
      <c r="BA10" s="52"/>
    </row>
    <row r="11" spans="1:53" ht="20.25" thickTop="1" thickBot="1" x14ac:dyDescent="0.3">
      <c r="A11" s="68" t="s">
        <v>13</v>
      </c>
      <c r="B11" s="38"/>
      <c r="C11" s="103">
        <f t="shared" si="0"/>
        <v>1.403</v>
      </c>
      <c r="D11" s="52">
        <v>0.40799999999999997</v>
      </c>
      <c r="E11" s="52">
        <v>0.52700000000000002</v>
      </c>
      <c r="F11" s="53">
        <v>1.103</v>
      </c>
      <c r="G11" s="52">
        <v>0.97699999999999998</v>
      </c>
      <c r="H11" s="52">
        <v>0.73299999999999998</v>
      </c>
      <c r="I11" s="53">
        <v>1.6679999999999999</v>
      </c>
      <c r="J11" s="52">
        <v>0.98499999999999999</v>
      </c>
      <c r="K11" s="53">
        <v>1.6970000000000001</v>
      </c>
      <c r="L11" s="51">
        <v>2.3639999999999999</v>
      </c>
      <c r="M11" s="38"/>
      <c r="N11" s="51">
        <v>3.5680000000000001</v>
      </c>
      <c r="O11" s="102">
        <f t="shared" si="1"/>
        <v>3.2046250000000001</v>
      </c>
      <c r="P11" s="51">
        <v>3.548</v>
      </c>
      <c r="Q11" s="51">
        <v>3.0150000000000001</v>
      </c>
      <c r="R11" s="51">
        <v>2.2869999999999999</v>
      </c>
      <c r="S11" s="51">
        <v>2.621</v>
      </c>
      <c r="T11" s="87">
        <v>2.9420000000000002</v>
      </c>
      <c r="U11" s="87">
        <v>2.9220000000000002</v>
      </c>
      <c r="V11" s="87">
        <v>5.1740000000000004</v>
      </c>
      <c r="W11" s="87">
        <v>3.1280000000000001</v>
      </c>
      <c r="X11" s="97">
        <f t="shared" si="2"/>
        <v>2.9413636363636368</v>
      </c>
      <c r="Y11" s="87">
        <v>3.2170000000000001</v>
      </c>
      <c r="Z11" s="87">
        <v>3.2949999999999999</v>
      </c>
      <c r="AA11" s="87">
        <v>4.3659999999999997</v>
      </c>
      <c r="AB11" s="87">
        <v>2.3780000000000001</v>
      </c>
      <c r="AC11" s="87">
        <v>3.2519999999999998</v>
      </c>
      <c r="AD11" s="87">
        <v>2.4020000000000001</v>
      </c>
      <c r="AE11" s="51">
        <v>2.89</v>
      </c>
      <c r="AF11" s="51">
        <v>2.036</v>
      </c>
      <c r="AG11" s="51">
        <v>2.9079999999999999</v>
      </c>
      <c r="AH11" s="51">
        <v>2.8809999999999998</v>
      </c>
      <c r="AI11" s="51">
        <v>2.73</v>
      </c>
      <c r="AJ11" s="40"/>
      <c r="AK11" s="34"/>
      <c r="AL11" s="26" t="s">
        <v>50</v>
      </c>
      <c r="AM11" s="27" t="s">
        <v>50</v>
      </c>
      <c r="AN11" s="35" t="s">
        <v>56</v>
      </c>
      <c r="AO11" s="54">
        <v>571</v>
      </c>
      <c r="AP11" s="35" t="s">
        <v>69</v>
      </c>
      <c r="AQ11" s="50">
        <v>2.056</v>
      </c>
      <c r="AR11" s="51">
        <v>2.4569999999999999</v>
      </c>
      <c r="AS11" s="53">
        <v>1.839</v>
      </c>
      <c r="AT11" s="51">
        <v>2.831</v>
      </c>
      <c r="AU11" s="51">
        <v>3.2909999999999999</v>
      </c>
      <c r="AV11" s="51">
        <v>2.2400000000000002</v>
      </c>
      <c r="AW11" s="51">
        <v>2.4289999999999998</v>
      </c>
      <c r="AX11" s="53">
        <v>1.3740000000000001</v>
      </c>
      <c r="AY11" s="51">
        <v>2.976</v>
      </c>
      <c r="AZ11" s="53">
        <v>1.091</v>
      </c>
      <c r="BA11" s="52">
        <v>3.5000000000000003E-2</v>
      </c>
    </row>
    <row r="12" spans="1:53" ht="20.25" thickTop="1" thickBot="1" x14ac:dyDescent="0.3">
      <c r="A12" s="78" t="s">
        <v>9</v>
      </c>
      <c r="B12" s="38"/>
      <c r="C12" s="103">
        <f t="shared" si="0"/>
        <v>1.9751000000000001</v>
      </c>
      <c r="D12" s="52">
        <v>0.84199999999999997</v>
      </c>
      <c r="E12" s="53">
        <v>1.2569999999999999</v>
      </c>
      <c r="F12" s="52">
        <v>0.53800000000000003</v>
      </c>
      <c r="G12" s="53">
        <v>1.0409999999999999</v>
      </c>
      <c r="H12" s="53">
        <v>1.722</v>
      </c>
      <c r="I12" s="51">
        <v>3.2130000000000001</v>
      </c>
      <c r="J12" s="51">
        <v>2.5579999999999998</v>
      </c>
      <c r="K12" s="51">
        <v>2.2469999999999999</v>
      </c>
      <c r="L12" s="51">
        <v>3.0910000000000002</v>
      </c>
      <c r="M12" s="38"/>
      <c r="N12" s="51">
        <v>3.242</v>
      </c>
      <c r="O12" s="102">
        <f t="shared" si="1"/>
        <v>3.4726249999999999</v>
      </c>
      <c r="P12" s="51">
        <v>2.9540000000000002</v>
      </c>
      <c r="Q12" s="51">
        <v>2.7949999999999999</v>
      </c>
      <c r="R12" s="51">
        <v>3.3050000000000002</v>
      </c>
      <c r="S12" s="51">
        <v>3.488</v>
      </c>
      <c r="T12" s="87">
        <v>5.21</v>
      </c>
      <c r="U12" s="87">
        <v>3.673</v>
      </c>
      <c r="V12" s="87">
        <v>3.4809999999999999</v>
      </c>
      <c r="W12" s="87">
        <v>2.875</v>
      </c>
      <c r="X12" s="97">
        <f t="shared" si="2"/>
        <v>3.2467272727272731</v>
      </c>
      <c r="Y12" s="87">
        <v>3.34</v>
      </c>
      <c r="Z12" s="87">
        <v>2.9780000000000002</v>
      </c>
      <c r="AA12" s="90">
        <v>0.93</v>
      </c>
      <c r="AB12" s="87">
        <v>3.8250000000000002</v>
      </c>
      <c r="AC12" s="87">
        <v>4.4690000000000003</v>
      </c>
      <c r="AD12" s="87">
        <v>3.66</v>
      </c>
      <c r="AE12" s="51">
        <v>3.367</v>
      </c>
      <c r="AF12" s="51">
        <v>3.63</v>
      </c>
      <c r="AG12" s="51">
        <v>2.0310000000000001</v>
      </c>
      <c r="AH12" s="51">
        <v>3.7810000000000001</v>
      </c>
      <c r="AI12" s="51">
        <v>3.7029999999999998</v>
      </c>
      <c r="AJ12" s="40"/>
      <c r="AK12" s="34"/>
      <c r="AL12" s="46"/>
      <c r="AM12" s="27" t="s">
        <v>50</v>
      </c>
      <c r="AN12" s="35" t="s">
        <v>55</v>
      </c>
      <c r="AO12" s="54">
        <v>779</v>
      </c>
      <c r="AP12" s="35" t="s">
        <v>70</v>
      </c>
      <c r="AQ12" s="56">
        <v>1.9219999999999999</v>
      </c>
      <c r="AR12" s="51">
        <v>3.4889999999999999</v>
      </c>
      <c r="AS12" s="51">
        <v>2.839</v>
      </c>
      <c r="AT12" s="51">
        <v>3.45</v>
      </c>
      <c r="AU12" s="51">
        <v>2.0579999999999998</v>
      </c>
      <c r="AV12" s="51">
        <v>2.444</v>
      </c>
      <c r="AW12" s="53">
        <v>1.2889999999999999</v>
      </c>
      <c r="AX12" s="53">
        <v>1.8</v>
      </c>
      <c r="AY12" s="53">
        <v>1.6220000000000001</v>
      </c>
      <c r="AZ12" s="52">
        <v>0.23100000000000001</v>
      </c>
      <c r="BA12" s="52"/>
    </row>
    <row r="13" spans="1:53" ht="20.25" thickTop="1" thickBot="1" x14ac:dyDescent="0.3">
      <c r="A13" s="68" t="s">
        <v>16</v>
      </c>
      <c r="B13" s="38"/>
      <c r="C13" s="132">
        <f t="shared" si="0"/>
        <v>0.3831</v>
      </c>
      <c r="D13" s="52"/>
      <c r="E13" s="52">
        <v>0.123</v>
      </c>
      <c r="F13" s="52">
        <v>0.03</v>
      </c>
      <c r="G13" s="52">
        <v>1.2999999999999999E-2</v>
      </c>
      <c r="H13" s="52">
        <v>0.38</v>
      </c>
      <c r="I13" s="52">
        <v>0.126</v>
      </c>
      <c r="J13" s="52">
        <v>9.6000000000000002E-2</v>
      </c>
      <c r="K13" s="52">
        <v>0.32200000000000001</v>
      </c>
      <c r="L13" s="53">
        <v>1.173</v>
      </c>
      <c r="M13" s="38"/>
      <c r="N13" s="53">
        <v>1.5680000000000001</v>
      </c>
      <c r="O13" s="102">
        <f t="shared" si="1"/>
        <v>2.2999999999999998</v>
      </c>
      <c r="P13" s="53">
        <v>1.2270000000000001</v>
      </c>
      <c r="Q13" s="52">
        <v>0.60799999999999998</v>
      </c>
      <c r="R13" s="53">
        <v>1.373</v>
      </c>
      <c r="S13" s="53">
        <v>1.5469999999999999</v>
      </c>
      <c r="T13" s="87">
        <v>3.75</v>
      </c>
      <c r="U13" s="88">
        <v>1.8049999999999999</v>
      </c>
      <c r="V13" s="87">
        <v>4.2809999999999997</v>
      </c>
      <c r="W13" s="87">
        <v>3.8090000000000002</v>
      </c>
      <c r="X13" s="97">
        <f t="shared" si="2"/>
        <v>3.5779090909090909</v>
      </c>
      <c r="Y13" s="87">
        <v>4.2850000000000001</v>
      </c>
      <c r="Z13" s="87">
        <v>2.68</v>
      </c>
      <c r="AA13" s="87">
        <v>2.7890000000000001</v>
      </c>
      <c r="AB13" s="87">
        <v>4.2789999999999999</v>
      </c>
      <c r="AC13" s="87">
        <v>3.6989999999999998</v>
      </c>
      <c r="AD13" s="87">
        <v>3.9649999999999999</v>
      </c>
      <c r="AE13" s="51">
        <v>4.5510000000000002</v>
      </c>
      <c r="AF13" s="51">
        <v>3.7429999999999999</v>
      </c>
      <c r="AG13" s="51">
        <v>3.169</v>
      </c>
      <c r="AH13" s="51">
        <v>3.03</v>
      </c>
      <c r="AI13" s="51">
        <v>3.1669999999999998</v>
      </c>
      <c r="AJ13" s="40"/>
      <c r="AK13" s="34"/>
      <c r="AL13" s="26" t="s">
        <v>50</v>
      </c>
      <c r="AM13" s="27" t="s">
        <v>50</v>
      </c>
      <c r="AN13" s="35" t="s">
        <v>56</v>
      </c>
      <c r="AO13" s="55">
        <v>1058</v>
      </c>
      <c r="AP13" s="35" t="s">
        <v>74</v>
      </c>
      <c r="AQ13" s="56">
        <v>1.786</v>
      </c>
      <c r="AR13" s="51">
        <v>2.8140000000000001</v>
      </c>
      <c r="AS13" s="51">
        <v>2.0390000000000001</v>
      </c>
      <c r="AT13" s="51">
        <v>3.9020000000000001</v>
      </c>
      <c r="AU13" s="51">
        <v>2.7090000000000001</v>
      </c>
      <c r="AV13" s="52">
        <v>0.97599999999999998</v>
      </c>
      <c r="AW13" s="53">
        <v>1.66</v>
      </c>
      <c r="AX13" s="53">
        <v>1.2410000000000001</v>
      </c>
      <c r="AY13" s="53">
        <v>1.891</v>
      </c>
      <c r="AZ13" s="52">
        <v>0.54700000000000004</v>
      </c>
      <c r="BA13" s="52">
        <v>8.3000000000000004E-2</v>
      </c>
    </row>
    <row r="14" spans="1:53" ht="20.25" thickTop="1" thickBot="1" x14ac:dyDescent="0.3">
      <c r="A14" s="69" t="s">
        <v>14</v>
      </c>
      <c r="B14" s="38"/>
      <c r="C14" s="102">
        <f t="shared" si="0"/>
        <v>4.9058000000000002</v>
      </c>
      <c r="D14" s="51">
        <v>3.5369999999999999</v>
      </c>
      <c r="E14" s="51">
        <v>4.4530000000000003</v>
      </c>
      <c r="F14" s="51">
        <v>3.2839999999999998</v>
      </c>
      <c r="G14" s="51">
        <v>7.0209999999999999</v>
      </c>
      <c r="H14" s="51">
        <v>6.5629999999999997</v>
      </c>
      <c r="I14" s="51">
        <v>4.76</v>
      </c>
      <c r="J14" s="51">
        <v>4.9480000000000004</v>
      </c>
      <c r="K14" s="51">
        <v>5.1859999999999999</v>
      </c>
      <c r="L14" s="51">
        <v>4.4489999999999998</v>
      </c>
      <c r="M14" s="38"/>
      <c r="N14" s="51">
        <v>4.8570000000000002</v>
      </c>
      <c r="O14" s="102">
        <f t="shared" si="1"/>
        <v>4.3730000000000002</v>
      </c>
      <c r="P14" s="51">
        <v>5.7960000000000003</v>
      </c>
      <c r="Q14" s="51">
        <v>3.51</v>
      </c>
      <c r="R14" s="51">
        <v>4.7859999999999996</v>
      </c>
      <c r="S14" s="51">
        <v>4.1120000000000001</v>
      </c>
      <c r="T14" s="87">
        <v>4.18</v>
      </c>
      <c r="U14" s="87">
        <v>3.79</v>
      </c>
      <c r="V14" s="87">
        <v>4.93</v>
      </c>
      <c r="W14" s="87">
        <v>3.88</v>
      </c>
      <c r="X14" s="97">
        <f t="shared" si="2"/>
        <v>2.9954545454545451</v>
      </c>
      <c r="Y14" s="87">
        <v>3.46</v>
      </c>
      <c r="Z14" s="87">
        <v>3.1219999999999999</v>
      </c>
      <c r="AA14" s="87">
        <v>2.7450000000000001</v>
      </c>
      <c r="AB14" s="87">
        <v>3.9289999999999998</v>
      </c>
      <c r="AC14" s="87">
        <v>2.2650000000000001</v>
      </c>
      <c r="AD14" s="87">
        <v>3.714</v>
      </c>
      <c r="AE14" s="51">
        <v>3.286</v>
      </c>
      <c r="AF14" s="53">
        <v>1.06</v>
      </c>
      <c r="AG14" s="51">
        <v>4.82</v>
      </c>
      <c r="AH14" s="76">
        <v>2.99</v>
      </c>
      <c r="AI14" s="53">
        <v>1.5589999999999999</v>
      </c>
      <c r="AJ14" s="40"/>
      <c r="AK14" s="34"/>
      <c r="AL14" s="46"/>
      <c r="AM14" s="27" t="s">
        <v>50</v>
      </c>
      <c r="AN14" s="34" t="s">
        <v>55</v>
      </c>
      <c r="AO14" s="49">
        <v>148</v>
      </c>
      <c r="AP14" s="35" t="s">
        <v>75</v>
      </c>
      <c r="AQ14" s="56">
        <v>1.5409999999999999</v>
      </c>
      <c r="AR14" s="51">
        <v>3.0590000000000002</v>
      </c>
      <c r="AS14" s="51">
        <v>2.9020000000000001</v>
      </c>
      <c r="AT14" s="51">
        <v>2.706</v>
      </c>
      <c r="AU14" s="51">
        <v>4.2839999999999998</v>
      </c>
      <c r="AV14" s="52">
        <v>0.89200000000000002</v>
      </c>
      <c r="AW14" s="52">
        <v>0.127</v>
      </c>
      <c r="AX14" s="53">
        <v>1.0980000000000001</v>
      </c>
      <c r="AY14" s="52">
        <v>0.34300000000000003</v>
      </c>
      <c r="AZ14" s="52">
        <v>0</v>
      </c>
      <c r="BA14" s="52"/>
    </row>
    <row r="15" spans="1:53" ht="20.25" thickTop="1" thickBot="1" x14ac:dyDescent="0.3">
      <c r="A15" s="68" t="s">
        <v>10</v>
      </c>
      <c r="B15" s="38"/>
      <c r="C15" s="132">
        <f t="shared" si="0"/>
        <v>0.97689999999999999</v>
      </c>
      <c r="D15" s="52">
        <v>0.372</v>
      </c>
      <c r="E15" s="52">
        <v>0.82</v>
      </c>
      <c r="F15" s="53">
        <v>1</v>
      </c>
      <c r="G15" s="52">
        <v>0.45800000000000002</v>
      </c>
      <c r="H15" s="52">
        <v>0.14299999999999999</v>
      </c>
      <c r="I15" s="52">
        <v>0.53900000000000003</v>
      </c>
      <c r="J15" s="52">
        <v>0.42499999999999999</v>
      </c>
      <c r="K15" s="53">
        <v>1.9330000000000001</v>
      </c>
      <c r="L15" s="51">
        <v>2.17</v>
      </c>
      <c r="M15" s="38"/>
      <c r="N15" s="53">
        <v>1.909</v>
      </c>
      <c r="O15" s="102">
        <f t="shared" si="1"/>
        <v>3.13225</v>
      </c>
      <c r="P15" s="51">
        <v>2.6080000000000001</v>
      </c>
      <c r="Q15" s="53">
        <v>1.22</v>
      </c>
      <c r="R15" s="53">
        <v>1.728</v>
      </c>
      <c r="S15" s="53">
        <v>1.4350000000000001</v>
      </c>
      <c r="T15" s="87">
        <v>7.3949999999999996</v>
      </c>
      <c r="U15" s="88">
        <v>1.845</v>
      </c>
      <c r="V15" s="87">
        <v>5.556</v>
      </c>
      <c r="W15" s="87">
        <v>3.2709999999999999</v>
      </c>
      <c r="X15" s="97">
        <f t="shared" si="2"/>
        <v>2.6727272727272724</v>
      </c>
      <c r="Y15" s="87">
        <v>5.9039999999999999</v>
      </c>
      <c r="Z15" s="87">
        <v>4.1319999999999997</v>
      </c>
      <c r="AA15" s="88">
        <v>1.3420000000000001</v>
      </c>
      <c r="AB15" s="87">
        <v>2.617</v>
      </c>
      <c r="AC15" s="87">
        <v>2.3090000000000002</v>
      </c>
      <c r="AD15" s="87">
        <v>2.5339999999999998</v>
      </c>
      <c r="AE15" s="51">
        <v>2.698</v>
      </c>
      <c r="AF15" s="53">
        <v>1.964</v>
      </c>
      <c r="AG15" s="53">
        <v>1.077</v>
      </c>
      <c r="AH15" s="51">
        <v>2.9740000000000002</v>
      </c>
      <c r="AI15" s="53">
        <v>1.849</v>
      </c>
      <c r="AJ15" s="40"/>
      <c r="AK15" s="34"/>
      <c r="AL15" s="46"/>
      <c r="AM15" s="27" t="s">
        <v>50</v>
      </c>
      <c r="AN15" s="34" t="s">
        <v>55</v>
      </c>
      <c r="AO15" s="54">
        <v>527</v>
      </c>
      <c r="AP15" s="35" t="s">
        <v>76</v>
      </c>
      <c r="AQ15" s="56">
        <v>1.532</v>
      </c>
      <c r="AR15" s="51">
        <v>3.5449999999999999</v>
      </c>
      <c r="AS15" s="51">
        <v>2.1309999999999998</v>
      </c>
      <c r="AT15" s="53">
        <v>1.5720000000000001</v>
      </c>
      <c r="AU15" s="51">
        <v>2.1840000000000002</v>
      </c>
      <c r="AV15" s="53">
        <v>1.395</v>
      </c>
      <c r="AW15" s="53">
        <v>1.3129999999999999</v>
      </c>
      <c r="AX15" s="53">
        <v>1.528</v>
      </c>
      <c r="AY15" s="53">
        <v>1.2709999999999999</v>
      </c>
      <c r="AZ15" s="52">
        <v>0.38900000000000001</v>
      </c>
      <c r="BA15" s="52">
        <v>1.2999999999999999E-2</v>
      </c>
    </row>
    <row r="16" spans="1:53" ht="20.25" thickTop="1" thickBot="1" x14ac:dyDescent="0.3">
      <c r="A16" s="70" t="s">
        <v>26</v>
      </c>
      <c r="B16" s="38"/>
      <c r="C16" s="102">
        <f t="shared" si="0"/>
        <v>2.1070000000000002</v>
      </c>
      <c r="D16" s="53">
        <v>1.4379999999999999</v>
      </c>
      <c r="E16" s="53">
        <v>1.5369999999999999</v>
      </c>
      <c r="F16" s="52">
        <v>5.5E-2</v>
      </c>
      <c r="G16" s="52">
        <v>0.85599999999999998</v>
      </c>
      <c r="H16" s="52">
        <v>0.73799999999999999</v>
      </c>
      <c r="I16" s="51">
        <v>2.9409999999999998</v>
      </c>
      <c r="J16" s="51">
        <v>2.931</v>
      </c>
      <c r="K16" s="51">
        <v>3.1880000000000002</v>
      </c>
      <c r="L16" s="51">
        <v>3.0350000000000001</v>
      </c>
      <c r="M16" s="38"/>
      <c r="N16" s="51">
        <v>4.351</v>
      </c>
      <c r="O16" s="102">
        <f t="shared" si="1"/>
        <v>3.821625</v>
      </c>
      <c r="P16" s="51">
        <v>3.1269999999999998</v>
      </c>
      <c r="Q16" s="51">
        <v>2.6629999999999998</v>
      </c>
      <c r="R16" s="51">
        <v>4.9169999999999998</v>
      </c>
      <c r="S16" s="51">
        <v>4.3019999999999996</v>
      </c>
      <c r="T16" s="87">
        <v>4.1639999999999997</v>
      </c>
      <c r="U16" s="87">
        <v>4.28</v>
      </c>
      <c r="V16" s="87">
        <v>3.7869999999999999</v>
      </c>
      <c r="W16" s="87">
        <v>3.3330000000000002</v>
      </c>
      <c r="X16" s="97">
        <f t="shared" si="2"/>
        <v>2.7791818181818182</v>
      </c>
      <c r="Y16" s="87">
        <v>3.3090000000000002</v>
      </c>
      <c r="Z16" s="87">
        <v>3.2440000000000002</v>
      </c>
      <c r="AA16" s="87">
        <v>2.7320000000000002</v>
      </c>
      <c r="AB16" s="87">
        <v>3.605</v>
      </c>
      <c r="AC16" s="87">
        <v>2.722</v>
      </c>
      <c r="AD16" s="87">
        <v>3.59</v>
      </c>
      <c r="AE16" s="51">
        <v>3.1120000000000001</v>
      </c>
      <c r="AF16" s="53">
        <v>1.357</v>
      </c>
      <c r="AG16" s="53">
        <v>1.3879999999999999</v>
      </c>
      <c r="AH16" s="51">
        <v>2.6160000000000001</v>
      </c>
      <c r="AI16" s="51">
        <v>2.8959999999999999</v>
      </c>
      <c r="AJ16" s="40"/>
      <c r="AK16" s="40"/>
      <c r="AL16" s="46"/>
      <c r="AM16" s="27" t="s">
        <v>50</v>
      </c>
      <c r="AN16" s="35" t="s">
        <v>55</v>
      </c>
      <c r="AO16" s="54">
        <v>897</v>
      </c>
      <c r="AP16" s="35" t="s">
        <v>77</v>
      </c>
      <c r="AQ16" s="56">
        <v>1.431</v>
      </c>
      <c r="AR16" s="51">
        <v>2.7210000000000001</v>
      </c>
      <c r="AS16" s="53">
        <v>1.274</v>
      </c>
      <c r="AT16" s="51">
        <v>2.0819999999999999</v>
      </c>
      <c r="AU16" s="51">
        <v>2.2549999999999999</v>
      </c>
      <c r="AV16" s="53">
        <v>1.538</v>
      </c>
      <c r="AW16" s="52">
        <v>0.22600000000000001</v>
      </c>
      <c r="AX16" s="53">
        <v>1.3029999999999999</v>
      </c>
      <c r="AY16" s="53">
        <v>1.7310000000000001</v>
      </c>
      <c r="AZ16" s="53">
        <v>1.1830000000000001</v>
      </c>
      <c r="BA16" s="52">
        <v>0</v>
      </c>
    </row>
    <row r="17" spans="1:53" ht="20.25" thickTop="1" thickBot="1" x14ac:dyDescent="0.3">
      <c r="A17" s="77" t="s">
        <v>22</v>
      </c>
      <c r="B17" s="38"/>
      <c r="C17" s="103">
        <f t="shared" si="0"/>
        <v>1.4890000000000001</v>
      </c>
      <c r="D17" s="52">
        <v>0.22800000000000001</v>
      </c>
      <c r="E17" s="52">
        <v>0.1</v>
      </c>
      <c r="F17" s="52">
        <v>0.52200000000000002</v>
      </c>
      <c r="G17" s="52">
        <v>0.6</v>
      </c>
      <c r="H17" s="52">
        <v>0.755</v>
      </c>
      <c r="I17" s="53">
        <v>1.746</v>
      </c>
      <c r="J17" s="51">
        <v>4.173</v>
      </c>
      <c r="K17" s="53">
        <v>1.2370000000000001</v>
      </c>
      <c r="L17" s="51">
        <v>2.1589999999999998</v>
      </c>
      <c r="M17" s="38"/>
      <c r="N17" s="51">
        <v>3.37</v>
      </c>
      <c r="O17" s="102">
        <f t="shared" si="1"/>
        <v>2.8731249999999999</v>
      </c>
      <c r="P17" s="51">
        <v>2.2719999999999998</v>
      </c>
      <c r="Q17" s="52">
        <v>0.74299999999999999</v>
      </c>
      <c r="R17" s="51">
        <v>3.0619999999999998</v>
      </c>
      <c r="S17" s="51">
        <v>2.585</v>
      </c>
      <c r="T17" s="87">
        <v>4.3140000000000001</v>
      </c>
      <c r="U17" s="87">
        <v>4.3019999999999996</v>
      </c>
      <c r="V17" s="87">
        <v>3.8690000000000002</v>
      </c>
      <c r="W17" s="88">
        <v>1.8380000000000001</v>
      </c>
      <c r="X17" s="97">
        <f t="shared" si="2"/>
        <v>2.7229090909090909</v>
      </c>
      <c r="Y17" s="87">
        <v>3.4239999999999999</v>
      </c>
      <c r="Z17" s="88">
        <v>1.8180000000000001</v>
      </c>
      <c r="AA17" s="88">
        <v>1.8540000000000001</v>
      </c>
      <c r="AB17" s="87">
        <v>3.8039999999999998</v>
      </c>
      <c r="AC17" s="87">
        <v>3.423</v>
      </c>
      <c r="AD17" s="87">
        <v>2.887</v>
      </c>
      <c r="AE17" s="51">
        <v>3.53</v>
      </c>
      <c r="AF17" s="51">
        <v>2.9729999999999999</v>
      </c>
      <c r="AG17" s="51">
        <v>2.1970000000000001</v>
      </c>
      <c r="AH17" s="53">
        <v>1.91</v>
      </c>
      <c r="AI17" s="51">
        <v>2.1320000000000001</v>
      </c>
      <c r="AJ17" s="40"/>
      <c r="AK17" s="34"/>
      <c r="AL17" s="26" t="s">
        <v>50</v>
      </c>
      <c r="AM17" s="27" t="s">
        <v>50</v>
      </c>
      <c r="AN17" s="35" t="s">
        <v>56</v>
      </c>
      <c r="AO17" s="54">
        <v>968</v>
      </c>
      <c r="AP17" s="35" t="s">
        <v>78</v>
      </c>
      <c r="AQ17" s="56">
        <v>1.3640000000000001</v>
      </c>
      <c r="AR17" s="53">
        <v>1.835</v>
      </c>
      <c r="AS17" s="53">
        <v>1.0900000000000001</v>
      </c>
      <c r="AT17" s="51">
        <v>4.4790000000000001</v>
      </c>
      <c r="AU17" s="51">
        <v>2.65</v>
      </c>
      <c r="AV17" s="52">
        <v>0.66200000000000003</v>
      </c>
      <c r="AW17" s="52">
        <v>4.2000000000000003E-2</v>
      </c>
      <c r="AX17" s="52">
        <v>0.60799999999999998</v>
      </c>
      <c r="AY17" s="51">
        <v>2.2040000000000002</v>
      </c>
      <c r="AZ17" s="52">
        <v>6.9000000000000006E-2</v>
      </c>
      <c r="BA17" s="52"/>
    </row>
    <row r="18" spans="1:53" ht="20.25" thickTop="1" thickBot="1" x14ac:dyDescent="0.3">
      <c r="A18" s="69" t="s">
        <v>18</v>
      </c>
      <c r="B18" s="38"/>
      <c r="C18" s="103">
        <f t="shared" si="0"/>
        <v>1.3012000000000001</v>
      </c>
      <c r="D18" s="52">
        <v>0.04</v>
      </c>
      <c r="E18" s="53">
        <v>1.123</v>
      </c>
      <c r="F18" s="52">
        <v>0.95399999999999996</v>
      </c>
      <c r="G18" s="53">
        <v>1.071</v>
      </c>
      <c r="H18" s="53">
        <v>1.272</v>
      </c>
      <c r="I18" s="52">
        <v>0.58499999999999996</v>
      </c>
      <c r="J18" s="53">
        <v>1.17</v>
      </c>
      <c r="K18" s="51">
        <v>2.3620000000000001</v>
      </c>
      <c r="L18" s="51">
        <v>2.258</v>
      </c>
      <c r="M18" s="38"/>
      <c r="N18" s="51">
        <v>2.177</v>
      </c>
      <c r="O18" s="103">
        <f t="shared" si="1"/>
        <v>1.7367499999999998</v>
      </c>
      <c r="P18" s="53">
        <v>1.55</v>
      </c>
      <c r="Q18" s="52">
        <v>0.70199999999999996</v>
      </c>
      <c r="R18" s="53">
        <v>1.849</v>
      </c>
      <c r="S18" s="53">
        <v>1.5409999999999999</v>
      </c>
      <c r="T18" s="87">
        <v>3</v>
      </c>
      <c r="U18" s="88">
        <v>1.1220000000000001</v>
      </c>
      <c r="V18" s="87">
        <v>3.0329999999999999</v>
      </c>
      <c r="W18" s="88">
        <v>1.097</v>
      </c>
      <c r="X18" s="97">
        <f t="shared" si="2"/>
        <v>2.0768181818181817</v>
      </c>
      <c r="Y18" s="87">
        <v>2.6309999999999998</v>
      </c>
      <c r="Z18" s="88">
        <v>1.179</v>
      </c>
      <c r="AA18" s="88">
        <v>1.4079999999999999</v>
      </c>
      <c r="AB18" s="87">
        <v>2.1619999999999999</v>
      </c>
      <c r="AC18" s="87">
        <v>3.048</v>
      </c>
      <c r="AD18" s="87">
        <v>2.8759999999999999</v>
      </c>
      <c r="AE18" s="51">
        <v>2.282</v>
      </c>
      <c r="AF18" s="51">
        <v>2.448</v>
      </c>
      <c r="AG18" s="53">
        <v>1.0940000000000001</v>
      </c>
      <c r="AH18" s="51">
        <v>2.04</v>
      </c>
      <c r="AI18" s="53">
        <v>1.677</v>
      </c>
      <c r="AJ18" s="40"/>
      <c r="AK18" s="34"/>
      <c r="AL18" s="46"/>
      <c r="AM18" s="27" t="s">
        <v>50</v>
      </c>
      <c r="AN18" s="35" t="s">
        <v>55</v>
      </c>
      <c r="AO18" s="54">
        <v>769</v>
      </c>
      <c r="AP18" s="35" t="s">
        <v>79</v>
      </c>
      <c r="AQ18" s="56">
        <v>1.1830000000000001</v>
      </c>
      <c r="AR18" s="51">
        <v>2.1219999999999999</v>
      </c>
      <c r="AS18" s="53">
        <v>1.758</v>
      </c>
      <c r="AT18" s="53">
        <v>1.276</v>
      </c>
      <c r="AU18" s="53">
        <v>1.617</v>
      </c>
      <c r="AV18" s="51">
        <v>2.1179999999999999</v>
      </c>
      <c r="AW18" s="52">
        <v>0.49299999999999999</v>
      </c>
      <c r="AX18" s="53">
        <v>1.0820000000000001</v>
      </c>
      <c r="AY18" s="53">
        <v>1.2170000000000001</v>
      </c>
      <c r="AZ18" s="52">
        <v>0.13500000000000001</v>
      </c>
      <c r="BA18" s="52">
        <v>8.0000000000000002E-3</v>
      </c>
    </row>
    <row r="19" spans="1:53" ht="20.25" thickTop="1" thickBot="1" x14ac:dyDescent="0.3">
      <c r="A19" s="68" t="s">
        <v>19</v>
      </c>
      <c r="B19" s="38"/>
      <c r="C19" s="103">
        <f t="shared" si="0"/>
        <v>1.1989000000000001</v>
      </c>
      <c r="D19" s="52">
        <v>0.316</v>
      </c>
      <c r="E19" s="52">
        <v>0.76900000000000002</v>
      </c>
      <c r="F19" s="52">
        <v>0.79</v>
      </c>
      <c r="G19" s="52">
        <v>0.622</v>
      </c>
      <c r="H19" s="52">
        <v>0.91</v>
      </c>
      <c r="I19" s="53">
        <v>1.272</v>
      </c>
      <c r="J19" s="53">
        <v>1.4259999999999999</v>
      </c>
      <c r="K19" s="51">
        <v>2.0449999999999999</v>
      </c>
      <c r="L19" s="53">
        <v>1.8919999999999999</v>
      </c>
      <c r="M19" s="38"/>
      <c r="N19" s="53">
        <v>1.9470000000000001</v>
      </c>
      <c r="O19" s="103">
        <f t="shared" si="1"/>
        <v>1.7066250000000001</v>
      </c>
      <c r="P19" s="53">
        <v>1.54</v>
      </c>
      <c r="Q19" s="52">
        <v>0.86499999999999999</v>
      </c>
      <c r="R19" s="53">
        <v>1.27</v>
      </c>
      <c r="S19" s="51">
        <v>2.1720000000000002</v>
      </c>
      <c r="T19" s="87">
        <v>2.2360000000000002</v>
      </c>
      <c r="U19" s="87">
        <v>2.024</v>
      </c>
      <c r="V19" s="88">
        <v>1.8480000000000001</v>
      </c>
      <c r="W19" s="88">
        <v>1.698</v>
      </c>
      <c r="X19" s="96">
        <f t="shared" si="2"/>
        <v>1.8619999999999999</v>
      </c>
      <c r="Y19" s="88">
        <v>1.1419999999999999</v>
      </c>
      <c r="Z19" s="88">
        <v>1.026</v>
      </c>
      <c r="AA19" s="90">
        <v>0.73599999999999999</v>
      </c>
      <c r="AB19" s="88">
        <v>1.1639999999999999</v>
      </c>
      <c r="AC19" s="88">
        <v>1.8380000000000001</v>
      </c>
      <c r="AD19" s="87">
        <v>3.3889999999999998</v>
      </c>
      <c r="AE19" s="51">
        <v>2.883</v>
      </c>
      <c r="AF19" s="53">
        <v>1.9870000000000001</v>
      </c>
      <c r="AG19" s="51">
        <v>2.915</v>
      </c>
      <c r="AH19" s="51">
        <v>2.5510000000000002</v>
      </c>
      <c r="AI19" s="52">
        <v>0.85099999999999998</v>
      </c>
      <c r="AJ19" s="40"/>
      <c r="AK19" s="34"/>
      <c r="AL19" s="26" t="s">
        <v>50</v>
      </c>
      <c r="AM19" s="27" t="s">
        <v>50</v>
      </c>
      <c r="AN19" s="35" t="s">
        <v>56</v>
      </c>
      <c r="AO19" s="54">
        <v>631</v>
      </c>
      <c r="AP19" s="35" t="s">
        <v>80</v>
      </c>
      <c r="AQ19" s="56">
        <v>1.123</v>
      </c>
      <c r="AR19" s="51">
        <v>2.2330000000000001</v>
      </c>
      <c r="AS19" s="53">
        <v>1.0720000000000001</v>
      </c>
      <c r="AT19" s="53">
        <v>1.675</v>
      </c>
      <c r="AU19" s="51">
        <v>2.9590000000000001</v>
      </c>
      <c r="AV19" s="51">
        <v>2.8410000000000002</v>
      </c>
      <c r="AW19" s="52">
        <v>0.22</v>
      </c>
      <c r="AX19" s="52">
        <v>9.7000000000000003E-2</v>
      </c>
      <c r="AY19" s="52">
        <v>0.13600000000000001</v>
      </c>
      <c r="AZ19" s="52">
        <v>0</v>
      </c>
      <c r="BA19" s="52">
        <v>0</v>
      </c>
    </row>
    <row r="20" spans="1:53" ht="20.25" thickTop="1" thickBot="1" x14ac:dyDescent="0.3">
      <c r="A20" s="78" t="s">
        <v>20</v>
      </c>
      <c r="B20" s="38"/>
      <c r="C20" s="103">
        <f t="shared" si="0"/>
        <v>1.8488999999999998</v>
      </c>
      <c r="D20" s="52">
        <v>0.16600000000000001</v>
      </c>
      <c r="E20" s="52">
        <v>0.33600000000000002</v>
      </c>
      <c r="F20" s="53">
        <v>1.226</v>
      </c>
      <c r="G20" s="53">
        <v>1.1259999999999999</v>
      </c>
      <c r="H20" s="51">
        <v>2.9390000000000001</v>
      </c>
      <c r="I20" s="53">
        <v>1.8420000000000001</v>
      </c>
      <c r="J20" s="51">
        <v>2.7069999999999999</v>
      </c>
      <c r="K20" s="51">
        <v>2.032</v>
      </c>
      <c r="L20" s="51">
        <v>2.8889999999999998</v>
      </c>
      <c r="M20" s="38"/>
      <c r="N20" s="51">
        <v>3.226</v>
      </c>
      <c r="O20" s="102">
        <f t="shared" si="1"/>
        <v>2.5492499999999998</v>
      </c>
      <c r="P20" s="51">
        <v>2.93</v>
      </c>
      <c r="Q20" s="53">
        <v>1.0089999999999999</v>
      </c>
      <c r="R20" s="51">
        <v>2.3849999999999998</v>
      </c>
      <c r="S20" s="51">
        <v>2.6869999999999998</v>
      </c>
      <c r="T20" s="87">
        <v>4.58</v>
      </c>
      <c r="U20" s="87">
        <v>2.766</v>
      </c>
      <c r="V20" s="87">
        <v>3.0409999999999999</v>
      </c>
      <c r="W20" s="90">
        <v>0.996</v>
      </c>
      <c r="X20" s="97">
        <f t="shared" si="2"/>
        <v>2.0695454545454548</v>
      </c>
      <c r="Y20" s="87">
        <v>2.4239999999999999</v>
      </c>
      <c r="Z20" s="88">
        <v>1.47</v>
      </c>
      <c r="AA20" s="87">
        <v>2.1</v>
      </c>
      <c r="AB20" s="87">
        <v>4.28</v>
      </c>
      <c r="AC20" s="88">
        <v>1.3120000000000001</v>
      </c>
      <c r="AD20" s="88">
        <v>1.635</v>
      </c>
      <c r="AE20" s="53">
        <v>1.306</v>
      </c>
      <c r="AF20" s="51">
        <v>2.6139999999999999</v>
      </c>
      <c r="AG20" s="53">
        <v>1.992</v>
      </c>
      <c r="AH20" s="53">
        <v>1.7170000000000001</v>
      </c>
      <c r="AI20" s="53">
        <v>1.915</v>
      </c>
      <c r="AJ20" s="40"/>
      <c r="AK20" s="34"/>
      <c r="AL20" s="26" t="s">
        <v>50</v>
      </c>
      <c r="AM20" s="27" t="s">
        <v>50</v>
      </c>
      <c r="AN20" s="35" t="s">
        <v>56</v>
      </c>
      <c r="AO20" s="54">
        <v>902</v>
      </c>
      <c r="AP20" s="35" t="s">
        <v>81</v>
      </c>
      <c r="AQ20" s="65">
        <v>0.89300000000000002</v>
      </c>
      <c r="AR20" s="51">
        <v>2.31</v>
      </c>
      <c r="AS20" s="53">
        <v>1.0980000000000001</v>
      </c>
      <c r="AT20" s="53">
        <v>1.7010000000000001</v>
      </c>
      <c r="AU20" s="53">
        <v>1.202</v>
      </c>
      <c r="AV20" s="52">
        <v>0.23300000000000001</v>
      </c>
      <c r="AW20" s="52">
        <v>0.252</v>
      </c>
      <c r="AX20" s="53">
        <v>1.4930000000000001</v>
      </c>
      <c r="AY20" s="52">
        <v>0.60699999999999998</v>
      </c>
      <c r="AZ20" s="52">
        <v>0.04</v>
      </c>
      <c r="BA20" s="52">
        <v>0</v>
      </c>
    </row>
    <row r="21" spans="1:53" ht="20.25" thickTop="1" thickBot="1" x14ac:dyDescent="0.3">
      <c r="A21" s="79" t="s">
        <v>21</v>
      </c>
      <c r="B21" s="38"/>
      <c r="C21" s="38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82"/>
      <c r="U21" s="82"/>
      <c r="V21" s="82"/>
      <c r="W21" s="82"/>
      <c r="X21" s="93"/>
      <c r="Y21" s="82"/>
      <c r="Z21" s="82"/>
      <c r="AA21" s="82"/>
      <c r="AB21" s="82"/>
      <c r="AC21" s="82"/>
      <c r="AD21" s="82"/>
      <c r="AE21" s="83"/>
      <c r="AF21" s="83"/>
      <c r="AG21" s="83"/>
      <c r="AH21" s="61"/>
      <c r="AI21" s="61"/>
      <c r="AJ21" s="39" t="s">
        <v>48</v>
      </c>
      <c r="AK21" s="34"/>
      <c r="AL21" s="46"/>
      <c r="AM21" s="47"/>
      <c r="AN21" s="48" t="s">
        <v>54</v>
      </c>
      <c r="AO21" s="49">
        <v>386</v>
      </c>
      <c r="AP21" s="50"/>
      <c r="AQ21" s="50"/>
      <c r="AR21" s="61"/>
      <c r="AS21" s="61"/>
      <c r="AT21" s="61"/>
      <c r="AU21" s="61"/>
      <c r="AV21" s="61"/>
      <c r="AW21" s="61"/>
      <c r="AX21" s="61"/>
      <c r="AY21" s="61"/>
      <c r="AZ21" s="61"/>
      <c r="BA21" s="52"/>
    </row>
    <row r="22" spans="1:53" ht="20.25" thickTop="1" thickBot="1" x14ac:dyDescent="0.3">
      <c r="A22" s="79" t="s">
        <v>2</v>
      </c>
      <c r="B22" s="38"/>
      <c r="C22" s="38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82"/>
      <c r="U22" s="82"/>
      <c r="V22" s="82"/>
      <c r="W22" s="82"/>
      <c r="X22" s="93"/>
      <c r="Y22" s="82"/>
      <c r="Z22" s="82"/>
      <c r="AA22" s="82"/>
      <c r="AB22" s="82"/>
      <c r="AC22" s="82"/>
      <c r="AD22" s="82"/>
      <c r="AE22" s="83"/>
      <c r="AF22" s="83"/>
      <c r="AG22" s="83"/>
      <c r="AH22" s="61"/>
      <c r="AI22" s="61"/>
      <c r="AJ22" s="39" t="s">
        <v>48</v>
      </c>
      <c r="AK22" s="34"/>
      <c r="AL22" s="46"/>
      <c r="AM22" s="46"/>
      <c r="AN22" s="48" t="s">
        <v>55</v>
      </c>
      <c r="AO22" s="54">
        <v>742</v>
      </c>
      <c r="AP22" s="50"/>
      <c r="AQ22" s="50"/>
      <c r="AR22" s="61"/>
      <c r="AS22" s="61"/>
      <c r="AT22" s="61"/>
      <c r="AU22" s="61"/>
      <c r="AV22" s="61"/>
      <c r="AW22" s="61"/>
      <c r="AX22" s="61"/>
      <c r="AY22" s="61"/>
      <c r="AZ22" s="61"/>
      <c r="BA22" s="52"/>
    </row>
    <row r="23" spans="1:53" ht="20.25" thickTop="1" thickBot="1" x14ac:dyDescent="0.3">
      <c r="A23" s="80" t="s">
        <v>25</v>
      </c>
      <c r="B23" s="38"/>
      <c r="C23" s="38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82"/>
      <c r="U23" s="82"/>
      <c r="V23" s="82"/>
      <c r="W23" s="82"/>
      <c r="X23" s="93"/>
      <c r="Y23" s="82"/>
      <c r="Z23" s="82"/>
      <c r="AA23" s="82"/>
      <c r="AB23" s="82"/>
      <c r="AC23" s="82"/>
      <c r="AD23" s="82"/>
      <c r="AE23" s="83"/>
      <c r="AF23" s="83"/>
      <c r="AG23" s="83"/>
      <c r="AH23" s="61"/>
      <c r="AI23" s="61"/>
      <c r="AJ23" s="39" t="s">
        <v>48</v>
      </c>
      <c r="AK23" s="34"/>
      <c r="AL23" s="26" t="s">
        <v>50</v>
      </c>
      <c r="AM23" s="27" t="s">
        <v>50</v>
      </c>
      <c r="AN23" s="48" t="s">
        <v>55</v>
      </c>
      <c r="AO23" s="49">
        <v>229</v>
      </c>
      <c r="AP23" s="50"/>
      <c r="AQ23" s="50"/>
      <c r="AR23" s="61"/>
      <c r="AS23" s="61"/>
      <c r="AT23" s="61"/>
      <c r="AU23" s="61"/>
      <c r="AV23" s="61"/>
      <c r="AW23" s="61"/>
      <c r="AX23" s="61"/>
      <c r="AY23" s="61"/>
      <c r="AZ23" s="61"/>
      <c r="BA23" s="52"/>
    </row>
    <row r="24" spans="1:53" ht="20.25" thickTop="1" thickBot="1" x14ac:dyDescent="0.3">
      <c r="A24" s="78" t="s">
        <v>24</v>
      </c>
      <c r="B24" s="38"/>
      <c r="C24" s="38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82"/>
      <c r="U24" s="82"/>
      <c r="V24" s="82"/>
      <c r="W24" s="82"/>
      <c r="X24" s="93"/>
      <c r="Y24" s="82"/>
      <c r="Z24" s="82"/>
      <c r="AA24" s="82"/>
      <c r="AB24" s="82"/>
      <c r="AC24" s="82"/>
      <c r="AD24" s="82"/>
      <c r="AE24" s="83"/>
      <c r="AF24" s="83"/>
      <c r="AG24" s="83"/>
      <c r="AH24" s="61"/>
      <c r="AI24" s="61"/>
      <c r="AJ24" s="40"/>
      <c r="AK24" s="34"/>
      <c r="AL24" s="26" t="s">
        <v>50</v>
      </c>
      <c r="AM24" s="27" t="s">
        <v>50</v>
      </c>
      <c r="AN24" s="34" t="s">
        <v>56</v>
      </c>
      <c r="AO24" s="54">
        <v>645</v>
      </c>
      <c r="AP24" s="50"/>
      <c r="AQ24" s="50"/>
      <c r="AR24" s="61"/>
      <c r="AS24" s="61"/>
      <c r="AT24" s="61"/>
      <c r="AU24" s="61"/>
      <c r="AV24" s="61"/>
      <c r="AW24" s="61"/>
      <c r="AX24" s="61"/>
      <c r="AY24" s="61"/>
      <c r="AZ24" s="61"/>
      <c r="BA24" s="52"/>
    </row>
    <row r="25" spans="1:53" ht="20.25" thickTop="1" thickBot="1" x14ac:dyDescent="0.3">
      <c r="A25" s="81" t="s">
        <v>3</v>
      </c>
      <c r="B25" s="38"/>
      <c r="C25" s="38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82"/>
      <c r="U25" s="82"/>
      <c r="V25" s="82"/>
      <c r="W25" s="82"/>
      <c r="X25" s="93"/>
      <c r="Y25" s="82"/>
      <c r="Z25" s="82"/>
      <c r="AA25" s="82"/>
      <c r="AB25" s="82"/>
      <c r="AC25" s="82"/>
      <c r="AD25" s="82"/>
      <c r="AE25" s="83"/>
      <c r="AF25" s="83"/>
      <c r="AG25" s="83"/>
      <c r="AH25" s="61"/>
      <c r="AI25" s="61"/>
      <c r="AJ25" s="39" t="s">
        <v>48</v>
      </c>
      <c r="AK25" s="34"/>
      <c r="AL25" s="26" t="s">
        <v>50</v>
      </c>
      <c r="AM25" s="27" t="s">
        <v>50</v>
      </c>
      <c r="AN25" s="48" t="s">
        <v>55</v>
      </c>
      <c r="AO25" s="49">
        <v>306</v>
      </c>
      <c r="AP25" s="50"/>
      <c r="AQ25" s="50"/>
      <c r="AR25" s="61"/>
      <c r="AS25" s="61"/>
      <c r="AT25" s="61"/>
      <c r="AU25" s="61"/>
      <c r="AV25" s="61"/>
      <c r="AW25" s="61"/>
      <c r="AX25" s="61"/>
      <c r="AY25" s="61"/>
      <c r="AZ25" s="62"/>
      <c r="BA25" s="52"/>
    </row>
    <row r="26" spans="1:53" ht="20.25" thickTop="1" thickBot="1" x14ac:dyDescent="0.3">
      <c r="A26" s="78" t="s">
        <v>5</v>
      </c>
      <c r="B26" s="38"/>
      <c r="C26" s="38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82"/>
      <c r="U26" s="82"/>
      <c r="V26" s="82"/>
      <c r="W26" s="82"/>
      <c r="X26" s="93"/>
      <c r="Y26" s="82"/>
      <c r="Z26" s="82"/>
      <c r="AA26" s="82"/>
      <c r="AB26" s="82"/>
      <c r="AC26" s="82"/>
      <c r="AD26" s="82"/>
      <c r="AE26" s="83"/>
      <c r="AF26" s="83"/>
      <c r="AG26" s="83"/>
      <c r="AH26" s="61"/>
      <c r="AI26" s="61"/>
      <c r="AJ26" s="40"/>
      <c r="AK26" s="34"/>
      <c r="AL26" s="26" t="s">
        <v>50</v>
      </c>
      <c r="AM26" s="27" t="s">
        <v>50</v>
      </c>
      <c r="AN26" s="35" t="s">
        <v>56</v>
      </c>
      <c r="AO26" s="55">
        <v>1038</v>
      </c>
      <c r="AP26" s="50"/>
      <c r="AQ26" s="50"/>
      <c r="AR26" s="61"/>
      <c r="AS26" s="61"/>
      <c r="AT26" s="61"/>
      <c r="AU26" s="61"/>
      <c r="AV26" s="61"/>
      <c r="AW26" s="61"/>
      <c r="AX26" s="61"/>
      <c r="AY26" s="61"/>
      <c r="AZ26" s="61"/>
      <c r="BA26" s="52"/>
    </row>
    <row r="27" spans="1:53" ht="20.25" thickTop="1" thickBot="1" x14ac:dyDescent="0.3">
      <c r="A27" s="78" t="s">
        <v>1</v>
      </c>
      <c r="B27" s="38"/>
      <c r="C27" s="38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82"/>
      <c r="U27" s="82"/>
      <c r="V27" s="82"/>
      <c r="W27" s="82"/>
      <c r="X27" s="93"/>
      <c r="Y27" s="82"/>
      <c r="Z27" s="82"/>
      <c r="AA27" s="82"/>
      <c r="AB27" s="82"/>
      <c r="AC27" s="82"/>
      <c r="AD27" s="82"/>
      <c r="AE27" s="83"/>
      <c r="AF27" s="83"/>
      <c r="AG27" s="83"/>
      <c r="AH27" s="61"/>
      <c r="AI27" s="61"/>
      <c r="AJ27" s="40"/>
      <c r="AK27" s="34"/>
      <c r="AL27" s="26" t="s">
        <v>50</v>
      </c>
      <c r="AM27" s="27" t="s">
        <v>50</v>
      </c>
      <c r="AN27" s="35" t="s">
        <v>54</v>
      </c>
      <c r="AO27" s="49">
        <v>249</v>
      </c>
      <c r="AP27" s="50"/>
      <c r="AQ27" s="56"/>
      <c r="AR27" s="61"/>
      <c r="AS27" s="61"/>
      <c r="AT27" s="61"/>
      <c r="AU27" s="61"/>
      <c r="AV27" s="61"/>
      <c r="AW27" s="61"/>
      <c r="AX27" s="61"/>
      <c r="AY27" s="61"/>
      <c r="AZ27" s="61"/>
      <c r="BA27" s="52"/>
    </row>
    <row r="28" spans="1:53" ht="20.25" thickTop="1" thickBot="1" x14ac:dyDescent="0.3">
      <c r="A28" s="69" t="s">
        <v>15</v>
      </c>
      <c r="B28" s="38"/>
      <c r="C28" s="38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82"/>
      <c r="U28" s="83"/>
      <c r="V28" s="83"/>
      <c r="W28" s="83"/>
      <c r="X28" s="101"/>
      <c r="Y28" s="84"/>
      <c r="Z28" s="84"/>
      <c r="AA28" s="84"/>
      <c r="AB28" s="84"/>
      <c r="AC28" s="84"/>
      <c r="AD28" s="84"/>
      <c r="AE28" s="84"/>
      <c r="AF28" s="84"/>
      <c r="AG28" s="84"/>
      <c r="AH28" s="75"/>
      <c r="AI28" s="75"/>
      <c r="AJ28" s="40"/>
      <c r="AK28" s="34"/>
      <c r="AL28" s="59" t="s">
        <v>50</v>
      </c>
      <c r="AM28" s="57" t="s">
        <v>50</v>
      </c>
      <c r="AN28" s="35" t="s">
        <v>56</v>
      </c>
      <c r="AO28" s="54">
        <v>642</v>
      </c>
      <c r="AP28" s="50"/>
      <c r="AQ28" s="56"/>
      <c r="AR28" s="61"/>
      <c r="AS28" s="61"/>
      <c r="AT28" s="61"/>
      <c r="AU28" s="61"/>
      <c r="AV28" s="61"/>
      <c r="AW28" s="61"/>
      <c r="AX28" s="61"/>
      <c r="AY28" s="61"/>
      <c r="AZ28" s="61"/>
      <c r="BA28" s="52"/>
    </row>
    <row r="29" spans="1:53" ht="20.25" thickTop="1" thickBot="1" x14ac:dyDescent="0.3">
      <c r="A29" s="78" t="s">
        <v>4</v>
      </c>
      <c r="B29" s="58"/>
      <c r="C29" s="58"/>
      <c r="D29" s="99"/>
      <c r="E29" s="99"/>
      <c r="F29" s="99"/>
      <c r="G29" s="99"/>
      <c r="H29" s="99"/>
      <c r="I29" s="99"/>
      <c r="J29" s="99"/>
      <c r="K29" s="100"/>
      <c r="L29" s="99"/>
      <c r="M29" s="99"/>
      <c r="N29" s="99"/>
      <c r="O29" s="100"/>
      <c r="P29" s="100"/>
      <c r="Q29" s="100"/>
      <c r="R29" s="100"/>
      <c r="S29" s="100"/>
      <c r="T29" s="85"/>
      <c r="U29" s="86"/>
      <c r="V29" s="86"/>
      <c r="W29" s="86"/>
      <c r="X29" s="94"/>
      <c r="Y29" s="86"/>
      <c r="Z29" s="86"/>
      <c r="AA29" s="86"/>
      <c r="AB29" s="86"/>
      <c r="AC29" s="86"/>
      <c r="AD29" s="86"/>
      <c r="AE29" s="86"/>
      <c r="AF29" s="86"/>
      <c r="AG29" s="86"/>
      <c r="AH29" s="28"/>
      <c r="AI29" s="28"/>
      <c r="AJ29" s="40"/>
      <c r="AK29" s="35"/>
      <c r="AL29" s="59" t="s">
        <v>50</v>
      </c>
      <c r="AM29" s="27" t="s">
        <v>50</v>
      </c>
      <c r="AN29" s="35" t="s">
        <v>55</v>
      </c>
      <c r="AO29" s="49">
        <v>105</v>
      </c>
      <c r="AP29" s="50"/>
      <c r="AQ29" s="56"/>
      <c r="AR29" s="63"/>
      <c r="AS29" s="63"/>
      <c r="AT29" s="63"/>
      <c r="AU29" s="63"/>
      <c r="AV29" s="63"/>
      <c r="AW29" s="63"/>
      <c r="AX29" s="63"/>
      <c r="AY29" s="63"/>
      <c r="AZ29" s="63"/>
      <c r="BA29" s="60"/>
    </row>
    <row r="30" spans="1:53" ht="16.5" thickTop="1" thickBot="1" x14ac:dyDescent="0.3"/>
    <row r="31" spans="1:53" ht="20.25" thickTop="1" thickBot="1" x14ac:dyDescent="0.35">
      <c r="AE31" s="104" t="s">
        <v>57</v>
      </c>
      <c r="AF31" s="114"/>
      <c r="AG31" s="114"/>
      <c r="AH31" s="114"/>
      <c r="AI31" s="114"/>
      <c r="AJ31" s="114"/>
      <c r="AK31" s="114"/>
      <c r="AL31" s="115"/>
      <c r="AQ31" s="104" t="s">
        <v>57</v>
      </c>
      <c r="AR31" s="105"/>
      <c r="AS31" s="105"/>
      <c r="AT31" s="106"/>
    </row>
    <row r="32" spans="1:53" ht="20.25" thickTop="1" thickBot="1" x14ac:dyDescent="0.35">
      <c r="AE32" s="4"/>
      <c r="AF32" s="5" t="s">
        <v>82</v>
      </c>
      <c r="AG32" s="113" t="s">
        <v>58</v>
      </c>
      <c r="AH32" s="113"/>
      <c r="AI32" s="113"/>
      <c r="AJ32" s="113"/>
      <c r="AK32" s="113"/>
      <c r="AL32" s="113"/>
      <c r="AQ32" s="2"/>
      <c r="AR32" s="107" t="s">
        <v>61</v>
      </c>
      <c r="AS32" s="108"/>
      <c r="AT32" s="109"/>
    </row>
    <row r="33" spans="30:46" ht="20.25" thickTop="1" thickBot="1" x14ac:dyDescent="0.35">
      <c r="AE33" s="6"/>
      <c r="AF33" s="5" t="s">
        <v>83</v>
      </c>
      <c r="AG33" s="113" t="s">
        <v>59</v>
      </c>
      <c r="AH33" s="113"/>
      <c r="AI33" s="113"/>
      <c r="AJ33" s="113"/>
      <c r="AK33" s="113"/>
      <c r="AL33" s="113"/>
      <c r="AP33" s="8"/>
      <c r="AQ33" s="1"/>
      <c r="AR33" s="110" t="s">
        <v>62</v>
      </c>
      <c r="AS33" s="111"/>
      <c r="AT33" s="112"/>
    </row>
    <row r="34" spans="30:46" ht="20.25" thickTop="1" thickBot="1" x14ac:dyDescent="0.35">
      <c r="AE34" s="7"/>
      <c r="AF34" s="5" t="s">
        <v>84</v>
      </c>
      <c r="AG34" s="113" t="s">
        <v>60</v>
      </c>
      <c r="AH34" s="113"/>
      <c r="AI34" s="113"/>
      <c r="AJ34" s="113"/>
      <c r="AK34" s="113"/>
      <c r="AL34" s="113"/>
      <c r="AP34" s="8"/>
      <c r="AQ34" s="3"/>
      <c r="AR34" s="107" t="s">
        <v>63</v>
      </c>
      <c r="AS34" s="108"/>
      <c r="AT34" s="109"/>
    </row>
    <row r="35" spans="30:46" ht="16.5" thickTop="1" thickBot="1" x14ac:dyDescent="0.3">
      <c r="AE35" s="11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30:46" ht="16.5" thickTop="1" x14ac:dyDescent="0.25">
      <c r="AD36" s="8"/>
      <c r="AE36" s="10" t="s">
        <v>85</v>
      </c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2"/>
    </row>
    <row r="37" spans="30:46" ht="16.5" thickBot="1" x14ac:dyDescent="0.3">
      <c r="AD37" s="8"/>
      <c r="AE37" s="13"/>
      <c r="AF37" s="10"/>
      <c r="AG37" s="15"/>
      <c r="AH37" s="10"/>
      <c r="AI37" s="10"/>
      <c r="AJ37" s="15"/>
      <c r="AK37" s="15"/>
      <c r="AL37" s="15"/>
      <c r="AM37" s="15"/>
      <c r="AN37" s="15"/>
      <c r="AO37" s="15"/>
      <c r="AP37" s="8"/>
    </row>
    <row r="38" spans="30:46" ht="15.75" thickTop="1" x14ac:dyDescent="0.25">
      <c r="AF38" s="14"/>
      <c r="AP38" s="14"/>
    </row>
  </sheetData>
  <sortState xmlns:xlrd2="http://schemas.microsoft.com/office/spreadsheetml/2017/richdata2" ref="A4:BA29">
    <sortCondition descending="1" ref="AQ4:AQ29"/>
  </sortState>
  <mergeCells count="15">
    <mergeCell ref="AJ1:BA1"/>
    <mergeCell ref="AN2:AO2"/>
    <mergeCell ref="A1:A3"/>
    <mergeCell ref="AP2:AP3"/>
    <mergeCell ref="X1:AI1"/>
    <mergeCell ref="C1:M1"/>
    <mergeCell ref="P1:V1"/>
    <mergeCell ref="AQ31:AT31"/>
    <mergeCell ref="AR32:AT32"/>
    <mergeCell ref="AR33:AT33"/>
    <mergeCell ref="AR34:AT34"/>
    <mergeCell ref="AG32:AL32"/>
    <mergeCell ref="AG33:AL33"/>
    <mergeCell ref="AG34:AL34"/>
    <mergeCell ref="AE31:AL3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Regina Aparecida Pieruchi</cp:lastModifiedBy>
  <dcterms:created xsi:type="dcterms:W3CDTF">2024-05-27T21:49:39Z</dcterms:created>
  <dcterms:modified xsi:type="dcterms:W3CDTF">2025-12-18T15:56:17Z</dcterms:modified>
</cp:coreProperties>
</file>